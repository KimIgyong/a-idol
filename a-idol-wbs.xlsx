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WBS" sheetId="2" state="visible" r:id="rId4"/>
    <sheet name="Milestones" sheetId="3" state="visible" r:id="rId5"/>
    <sheet name="TestCases" sheetId="4" state="visible" r:id="rId6"/>
    <sheet name="API" sheetId="5" state="visible" r:id="rId7"/>
    <sheet name="Screens" sheetId="6" state="visible" r:id="rId8"/>
    <sheet name="Risks" sheetId="7" state="visible" r:id="rId9"/>
    <sheet name="KP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<sst xmlns="http://schemas.openxmlformats.org/spreadsheetml/2006/main" count="1444" uniqueCount="821">
  <si>
    <t xml:space="preserve">A-idol — Project WBS &amp; Test Plan</t>
  </si>
  <si>
    <t xml:space="preserve">Version 1.0.0 | Created 2026-04-18 | Owner: Gray Kim</t>
  </si>
  <si>
    <t xml:space="preserve">Item</t>
  </si>
  <si>
    <t xml:space="preserve">Value</t>
  </si>
  <si>
    <t xml:space="preserve">Project</t>
  </si>
  <si>
    <t xml:space="preserve">A-idol (AI Idol Fandom Platform)</t>
  </si>
  <si>
    <t xml:space="preserve">Mobile</t>
  </si>
  <si>
    <t xml:space="preserve">React Native 0.74 (iOS 14+, Android 10+)</t>
  </si>
  <si>
    <t xml:space="preserve">CMS</t>
  </si>
  <si>
    <t xml:space="preserve">React 18 + Vite + shadcn/ui</t>
  </si>
  <si>
    <t xml:space="preserve">Backend</t>
  </si>
  <si>
    <t xml:space="preserve">NestJS 10 + Prisma 5</t>
  </si>
  <si>
    <t xml:space="preserve">Database</t>
  </si>
  <si>
    <t xml:space="preserve">PostgreSQL 16 + Redis 7</t>
  </si>
  <si>
    <t xml:space="preserve">Architecture</t>
  </si>
  <si>
    <t xml:space="preserve">Clean Architecture (Entity / UseCase / Adapter / Infra)</t>
  </si>
  <si>
    <t xml:space="preserve">Start Date</t>
  </si>
  <si>
    <t xml:space="preserve">2026-04-20</t>
  </si>
  <si>
    <t xml:space="preserve">MVP GA</t>
  </si>
  <si>
    <t xml:space="preserve">2026-08-29</t>
  </si>
  <si>
    <t xml:space="preserve">Duration</t>
  </si>
  <si>
    <t xml:space="preserve">19 weeks</t>
  </si>
  <si>
    <t xml:space="preserve">Total Effort</t>
  </si>
  <si>
    <t xml:space="preserve">~146 person-days (core dev)</t>
  </si>
  <si>
    <t xml:space="preserve">Team Size</t>
  </si>
  <si>
    <t xml:space="preserve">8 (PM1, BE2, Mobile2, CMS1, QA1, DevOps1)</t>
  </si>
  <si>
    <t xml:space="preserve">Sheet Map</t>
  </si>
  <si>
    <t xml:space="preserve">WBS</t>
  </si>
  <si>
    <t xml:space="preserve">Work Breakdown Structure — all tasks (T-001 …)</t>
  </si>
  <si>
    <t xml:space="preserve">Milestones</t>
  </si>
  <si>
    <t xml:space="preserve">Milestone table with target dates &amp; exit criteria</t>
  </si>
  <si>
    <t xml:space="preserve">TestCases</t>
  </si>
  <si>
    <t xml:space="preserve">Unit/integration test cases (TC-/ITC-)</t>
  </si>
  <si>
    <t xml:space="preserve">API</t>
  </si>
  <si>
    <t xml:space="preserve">REST API inventory</t>
  </si>
  <si>
    <t xml:space="preserve">Screens</t>
  </si>
  <si>
    <t xml:space="preserve">Screen inventory (Mobile + CMS)</t>
  </si>
  <si>
    <t xml:space="preserve">Risks</t>
  </si>
  <si>
    <t xml:space="preserve">Risk register</t>
  </si>
  <si>
    <t xml:space="preserve">KPI</t>
  </si>
  <si>
    <t xml:space="preserve">Success metrics tracking</t>
  </si>
  <si>
    <t xml:space="preserve">ID</t>
  </si>
  <si>
    <t xml:space="preserve">Task</t>
  </si>
  <si>
    <t xml:space="preserve">Phase</t>
  </si>
  <si>
    <t xml:space="preserve">Area</t>
  </si>
  <si>
    <t xml:space="preserve">Priority</t>
  </si>
  <si>
    <t xml:space="preserve">Effort (d)</t>
  </si>
  <si>
    <t xml:space="preserve">Depends On</t>
  </si>
  <si>
    <t xml:space="preserve">Assignee</t>
  </si>
  <si>
    <t xml:space="preserve">GitHub Issue</t>
  </si>
  <si>
    <t xml:space="preserve">Branch</t>
  </si>
  <si>
    <t xml:space="preserve">Start</t>
  </si>
  <si>
    <t xml:space="preserve">End</t>
  </si>
  <si>
    <t xml:space="preserve">Status</t>
  </si>
  <si>
    <t xml:space="preserve">T-001</t>
  </si>
  <si>
    <t xml:space="preserve">Monorepo scaffolding (pnpm workspace)</t>
  </si>
  <si>
    <t xml:space="preserve">Setup</t>
  </si>
  <si>
    <t xml:space="preserve">infra</t>
  </si>
  <si>
    <t xml:space="preserve">P0</t>
  </si>
  <si>
    <t xml:space="preserve">DevOps</t>
  </si>
  <si>
    <t xml:space="preserve">feature/001-monorepo</t>
  </si>
  <si>
    <t xml:space="preserve">Backlog</t>
  </si>
  <si>
    <t xml:space="preserve">T-002</t>
  </si>
  <si>
    <t xml:space="preserve">Shared domain package (@a-idol/domain)</t>
  </si>
  <si>
    <t xml:space="preserve">shared</t>
  </si>
  <si>
    <t xml:space="preserve">feature/002-shared-domain</t>
  </si>
  <si>
    <t xml:space="preserve">2026-04-21</t>
  </si>
  <si>
    <t xml:space="preserve">2026-04-22</t>
  </si>
  <si>
    <t xml:space="preserve">T-003</t>
  </si>
  <si>
    <t xml:space="preserve">NestJS backend skeleton + config/logging</t>
  </si>
  <si>
    <t xml:space="preserve">backend</t>
  </si>
  <si>
    <t xml:space="preserve">feature/003-nest-skeleton</t>
  </si>
  <si>
    <t xml:space="preserve">T-004</t>
  </si>
  <si>
    <t xml:space="preserve">PostgreSQL + Redis docker-compose, Prisma init</t>
  </si>
  <si>
    <t xml:space="preserve">feature/004-db-compose</t>
  </si>
  <si>
    <t xml:space="preserve">2026-04-23</t>
  </si>
  <si>
    <t xml:space="preserve">T-005</t>
  </si>
  <si>
    <t xml:space="preserve">RN app scaffolding + TS strict + nav</t>
  </si>
  <si>
    <t xml:space="preserve">mobile</t>
  </si>
  <si>
    <t xml:space="preserve">feature/005-rn-skeleton</t>
  </si>
  <si>
    <t xml:space="preserve">T-006</t>
  </si>
  <si>
    <t xml:space="preserve">CMS (Vite/React) scaffolding + auth shell</t>
  </si>
  <si>
    <t xml:space="preserve">cms</t>
  </si>
  <si>
    <t xml:space="preserve">feature/006-cms-skeleton</t>
  </si>
  <si>
    <t xml:space="preserve">T-007</t>
  </si>
  <si>
    <t xml:space="preserve">GitHub Actions CI (lint/test/build)</t>
  </si>
  <si>
    <t xml:space="preserve">devops</t>
  </si>
  <si>
    <t xml:space="preserve">T-003,T-005,T-006</t>
  </si>
  <si>
    <t xml:space="preserve">feature/007-ci</t>
  </si>
  <si>
    <t xml:space="preserve">2026-04-24</t>
  </si>
  <si>
    <t xml:space="preserve">2026-04-27</t>
  </si>
  <si>
    <t xml:space="preserve">T-008</t>
  </si>
  <si>
    <t xml:space="preserve">Environments + secrets + ECS skeleton</t>
  </si>
  <si>
    <t xml:space="preserve">T-004,T-007</t>
  </si>
  <si>
    <t xml:space="preserve">feature/008-infra</t>
  </si>
  <si>
    <t xml:space="preserve">2026-04-28</t>
  </si>
  <si>
    <t xml:space="preserve">2026-04-30</t>
  </si>
  <si>
    <t xml:space="preserve">T-009</t>
  </si>
  <si>
    <t xml:space="preserve">Identity module — signup/login (email+social)</t>
  </si>
  <si>
    <t xml:space="preserve">feature/009-identity</t>
  </si>
  <si>
    <t xml:space="preserve">2026-04-29</t>
  </si>
  <si>
    <t xml:space="preserve">T-010</t>
  </si>
  <si>
    <t xml:space="preserve">Mobile auth screens + keychain</t>
  </si>
  <si>
    <t xml:space="preserve">T-005,T-009</t>
  </si>
  <si>
    <t xml:space="preserve">feature/010-mobile-auth</t>
  </si>
  <si>
    <t xml:space="preserve">2026-05-02</t>
  </si>
  <si>
    <t xml:space="preserve">T-011</t>
  </si>
  <si>
    <t xml:space="preserve">CMS auth + RBAC base</t>
  </si>
  <si>
    <t xml:space="preserve">T-006,T-009</t>
  </si>
  <si>
    <t xml:space="preserve">feature/011-cms-auth</t>
  </si>
  <si>
    <t xml:space="preserve">2026-05-01</t>
  </si>
  <si>
    <t xml:space="preserve">T-020</t>
  </si>
  <si>
    <t xml:space="preserve">Catalog module (idols, agencies, media, schedules)</t>
  </si>
  <si>
    <t xml:space="preserve">A. Catalog</t>
  </si>
  <si>
    <t xml:space="preserve">feature/020-catalog</t>
  </si>
  <si>
    <t xml:space="preserve">2026-05-04</t>
  </si>
  <si>
    <t xml:space="preserve">2026-05-07</t>
  </si>
  <si>
    <t xml:space="preserve">T-021</t>
  </si>
  <si>
    <t xml:space="preserve">Fandom module (hearts, follows)</t>
  </si>
  <si>
    <t xml:space="preserve">feature/021-fandom</t>
  </si>
  <si>
    <t xml:space="preserve">2026-05-08</t>
  </si>
  <si>
    <t xml:space="preserve">2026-05-11</t>
  </si>
  <si>
    <t xml:space="preserve">T-022</t>
  </si>
  <si>
    <t xml:space="preserve">Fan club + membership domain</t>
  </si>
  <si>
    <t xml:space="preserve">feature/022-fanclub</t>
  </si>
  <si>
    <t xml:space="preserve">2026-05-12</t>
  </si>
  <si>
    <t xml:space="preserve">2026-05-14</t>
  </si>
  <si>
    <t xml:space="preserve">T-023</t>
  </si>
  <si>
    <t xml:space="preserve">Mobile idol list &amp; detail screens</t>
  </si>
  <si>
    <t xml:space="preserve">feature/023-idol-screens</t>
  </si>
  <si>
    <t xml:space="preserve">2026-05-13</t>
  </si>
  <si>
    <t xml:space="preserve">T-024</t>
  </si>
  <si>
    <t xml:space="preserve">Mobile heart/follow interactions</t>
  </si>
  <si>
    <t xml:space="preserve">feature/024-heart-follow</t>
  </si>
  <si>
    <t xml:space="preserve">2026-05-15</t>
  </si>
  <si>
    <t xml:space="preserve">T-025</t>
  </si>
  <si>
    <t xml:space="preserve">Mobile fan club join flow</t>
  </si>
  <si>
    <t xml:space="preserve">feature/025-fanclub-join</t>
  </si>
  <si>
    <t xml:space="preserve">2026-05-18</t>
  </si>
  <si>
    <t xml:space="preserve">2026-05-20</t>
  </si>
  <si>
    <t xml:space="preserve">T-026</t>
  </si>
  <si>
    <t xml:space="preserve">CMS Idol/Agency CRUD</t>
  </si>
  <si>
    <t xml:space="preserve">feature/026-cms-idol</t>
  </si>
  <si>
    <t xml:space="preserve">T-027</t>
  </si>
  <si>
    <t xml:space="preserve">CMS Auto-message template manager</t>
  </si>
  <si>
    <t xml:space="preserve">feature/027-cms-auto-msg</t>
  </si>
  <si>
    <t xml:space="preserve">T-028</t>
  </si>
  <si>
    <t xml:space="preserve">Seed data: 99 idols + 1 agency</t>
  </si>
  <si>
    <t xml:space="preserve">content</t>
  </si>
  <si>
    <t xml:space="preserve">Content</t>
  </si>
  <si>
    <t xml:space="preserve">feature/028-seed</t>
  </si>
  <si>
    <t xml:space="preserve">2026-05-21</t>
  </si>
  <si>
    <t xml:space="preserve">2026-05-22</t>
  </si>
  <si>
    <t xml:space="preserve">T-040</t>
  </si>
  <si>
    <t xml:space="preserve">Chat module (rooms, messages) + WS gateway</t>
  </si>
  <si>
    <t xml:space="preserve">B. Chat &amp; Shop</t>
  </si>
  <si>
    <t xml:space="preserve">feature/040-chat</t>
  </si>
  <si>
    <t xml:space="preserve">2026-05-25</t>
  </si>
  <si>
    <t xml:space="preserve">2026-05-29</t>
  </si>
  <si>
    <t xml:space="preserve">T-041</t>
  </si>
  <si>
    <t xml:space="preserve">Chat coupon logic + daily reset job</t>
  </si>
  <si>
    <t xml:space="preserve">feature/041-chat-coupon</t>
  </si>
  <si>
    <t xml:space="preserve">2026-06-01</t>
  </si>
  <si>
    <t xml:space="preserve">2026-06-03</t>
  </si>
  <si>
    <t xml:space="preserve">T-042</t>
  </si>
  <si>
    <t xml:space="preserve">Auto-message dispatcher (BullMQ cron)</t>
  </si>
  <si>
    <t xml:space="preserve">feature/042-auto-msg</t>
  </si>
  <si>
    <t xml:space="preserve">2026-06-04</t>
  </si>
  <si>
    <t xml:space="preserve">2026-06-08</t>
  </si>
  <si>
    <t xml:space="preserve">T-043</t>
  </si>
  <si>
    <t xml:space="preserve">Mobile chat room UI + WS client</t>
  </si>
  <si>
    <t xml:space="preserve">feature/043-chat-ui</t>
  </si>
  <si>
    <t xml:space="preserve">2026-06-05</t>
  </si>
  <si>
    <t xml:space="preserve">T-044</t>
  </si>
  <si>
    <t xml:space="preserve">Commerce module (orders, receipts, IAP verify)</t>
  </si>
  <si>
    <t xml:space="preserve">feature/044-commerce</t>
  </si>
  <si>
    <t xml:space="preserve">2026-06-12</t>
  </si>
  <si>
    <t xml:space="preserve">T-045</t>
  </si>
  <si>
    <t xml:space="preserve">Photo card module (sets, items, draw)</t>
  </si>
  <si>
    <t xml:space="preserve">feature/045-photocard</t>
  </si>
  <si>
    <t xml:space="preserve">2026-06-15</t>
  </si>
  <si>
    <t xml:space="preserve">2026-06-17</t>
  </si>
  <si>
    <t xml:space="preserve">T-046</t>
  </si>
  <si>
    <t xml:space="preserve">Mobile IAP integration (StoreKit/Billing)</t>
  </si>
  <si>
    <t xml:space="preserve">feature/046-mobile-iap</t>
  </si>
  <si>
    <t xml:space="preserve">2026-06-18</t>
  </si>
  <si>
    <t xml:space="preserve">T-047</t>
  </si>
  <si>
    <t xml:space="preserve">Mobile photo card shop + draw + collection</t>
  </si>
  <si>
    <t xml:space="preserve">T-045,T-046</t>
  </si>
  <si>
    <t xml:space="preserve">feature/047-card-shop</t>
  </si>
  <si>
    <t xml:space="preserve">2026-06-19</t>
  </si>
  <si>
    <t xml:space="preserve">2026-06-24</t>
  </si>
  <si>
    <t xml:space="preserve">T-048</t>
  </si>
  <si>
    <t xml:space="preserve">Instagram share + watermark generator</t>
  </si>
  <si>
    <t xml:space="preserve">backend+mobile</t>
  </si>
  <si>
    <t xml:space="preserve">P1</t>
  </si>
  <si>
    <t xml:space="preserve">feature/048-share</t>
  </si>
  <si>
    <t xml:space="preserve">2026-06-25</t>
  </si>
  <si>
    <t xml:space="preserve">2026-06-29</t>
  </si>
  <si>
    <t xml:space="preserve">T-049</t>
  </si>
  <si>
    <t xml:space="preserve">CMS Photo Card Sets manager</t>
  </si>
  <si>
    <t xml:space="preserve">feature/049-cms-cards</t>
  </si>
  <si>
    <t xml:space="preserve">2026-06-22</t>
  </si>
  <si>
    <t xml:space="preserve">T-060</t>
  </si>
  <si>
    <t xml:space="preserve">Audition + Round domain</t>
  </si>
  <si>
    <t xml:space="preserve">C. Audition</t>
  </si>
  <si>
    <t xml:space="preserve">feature/060-audition</t>
  </si>
  <si>
    <t xml:space="preserve">2026-06-30</t>
  </si>
  <si>
    <t xml:space="preserve">2026-07-02</t>
  </si>
  <si>
    <t xml:space="preserve">T-061</t>
  </si>
  <si>
    <t xml:space="preserve">VoteRule + weight validator</t>
  </si>
  <si>
    <t xml:space="preserve">feature/061-vote-rule</t>
  </si>
  <si>
    <t xml:space="preserve">2026-07-03</t>
  </si>
  <si>
    <t xml:space="preserve">2026-07-06</t>
  </si>
  <si>
    <t xml:space="preserve">T-062</t>
  </si>
  <si>
    <t xml:space="preserve">Vote ticket purchase flow</t>
  </si>
  <si>
    <t xml:space="preserve">feature/062-vote-ticket</t>
  </si>
  <si>
    <t xml:space="preserve">2026-07-07</t>
  </si>
  <si>
    <t xml:space="preserve">2026-07-08</t>
  </si>
  <si>
    <t xml:space="preserve">T-063</t>
  </si>
  <si>
    <t xml:space="preserve">Cast vote use case + Redis counter</t>
  </si>
  <si>
    <t xml:space="preserve">T-060,T-062</t>
  </si>
  <si>
    <t xml:space="preserve">feature/063-cast-vote</t>
  </si>
  <si>
    <t xml:space="preserve">2026-07-09</t>
  </si>
  <si>
    <t xml:space="preserve">2026-07-13</t>
  </si>
  <si>
    <t xml:space="preserve">T-064</t>
  </si>
  <si>
    <t xml:space="preserve">Ranking aggregation cron</t>
  </si>
  <si>
    <t xml:space="preserve">feature/064-ranking</t>
  </si>
  <si>
    <t xml:space="preserve">2026-07-14</t>
  </si>
  <si>
    <t xml:space="preserve">2026-07-16</t>
  </si>
  <si>
    <t xml:space="preserve">T-065</t>
  </si>
  <si>
    <t xml:space="preserve">Mobile audition overview + round vote screens</t>
  </si>
  <si>
    <t xml:space="preserve">feature/065-audition-mobile</t>
  </si>
  <si>
    <t xml:space="preserve">2026-07-20</t>
  </si>
  <si>
    <t xml:space="preserve">T-066</t>
  </si>
  <si>
    <t xml:space="preserve">Mobile vote ticket shop</t>
  </si>
  <si>
    <t xml:space="preserve">feature/066-ticket-shop</t>
  </si>
  <si>
    <t xml:space="preserve">2026-07-21</t>
  </si>
  <si>
    <t xml:space="preserve">2026-07-22</t>
  </si>
  <si>
    <t xml:space="preserve">T-067</t>
  </si>
  <si>
    <t xml:space="preserve">CMS Audition/Round/VoteRule managers</t>
  </si>
  <si>
    <t xml:space="preserve">T-060,T-061</t>
  </si>
  <si>
    <t xml:space="preserve">feature/067-cms-audition</t>
  </si>
  <si>
    <t xml:space="preserve">T-068</t>
  </si>
  <si>
    <t xml:space="preserve">CMS Dashboard (votes/revenue/users)</t>
  </si>
  <si>
    <t xml:space="preserve">T-044,T-063</t>
  </si>
  <si>
    <t xml:space="preserve">feature/068-dashboard</t>
  </si>
  <si>
    <t xml:space="preserve">2026-07-23</t>
  </si>
  <si>
    <t xml:space="preserve">2026-07-29</t>
  </si>
  <si>
    <t xml:space="preserve">T-080</t>
  </si>
  <si>
    <t xml:space="preserve">Observability (OTel, Sentry, Datadog)</t>
  </si>
  <si>
    <t xml:space="preserve">D. Stabilize</t>
  </si>
  <si>
    <t xml:space="preserve">feature/080-observability</t>
  </si>
  <si>
    <t xml:space="preserve">2026-08-03</t>
  </si>
  <si>
    <t xml:space="preserve">2026-08-05</t>
  </si>
  <si>
    <t xml:space="preserve">T-081</t>
  </si>
  <si>
    <t xml:space="preserve">Load test (JMeter/k6) — 50k concurrent</t>
  </si>
  <si>
    <t xml:space="preserve">feature/081-loadtest</t>
  </si>
  <si>
    <t xml:space="preserve">2026-08-06</t>
  </si>
  <si>
    <t xml:space="preserve">2026-08-10</t>
  </si>
  <si>
    <t xml:space="preserve">T-082</t>
  </si>
  <si>
    <t xml:space="preserve">Security review (OWASP ASVS L2)</t>
  </si>
  <si>
    <t xml:space="preserve">qa</t>
  </si>
  <si>
    <t xml:space="preserve">QA</t>
  </si>
  <si>
    <t xml:space="preserve">feature/082-security</t>
  </si>
  <si>
    <t xml:space="preserve">T-083</t>
  </si>
  <si>
    <t xml:space="preserve">Accessibility audit (WCAG AA)</t>
  </si>
  <si>
    <t xml:space="preserve">feature/083-a11y</t>
  </si>
  <si>
    <t xml:space="preserve">2026-08-07</t>
  </si>
  <si>
    <t xml:space="preserve">T-084</t>
  </si>
  <si>
    <t xml:space="preserve">Integration/regression test (ITC-001~)</t>
  </si>
  <si>
    <t xml:space="preserve">feature/084-regression</t>
  </si>
  <si>
    <t xml:space="preserve">2026-08-11</t>
  </si>
  <si>
    <t xml:space="preserve">2026-08-17</t>
  </si>
  <si>
    <t xml:space="preserve">T-085</t>
  </si>
  <si>
    <t xml:space="preserve">App Store / Play Console submission prep</t>
  </si>
  <si>
    <t xml:space="preserve">release</t>
  </si>
  <si>
    <t xml:space="preserve">PM</t>
  </si>
  <si>
    <t xml:space="preserve">feature/085-submission</t>
  </si>
  <si>
    <t xml:space="preserve">2026-08-18</t>
  </si>
  <si>
    <t xml:space="preserve">2026-08-20</t>
  </si>
  <si>
    <t xml:space="preserve">T-086</t>
  </si>
  <si>
    <t xml:space="preserve">Go-live runbook + incident playbook</t>
  </si>
  <si>
    <t xml:space="preserve">feature/086-runbook</t>
  </si>
  <si>
    <t xml:space="preserve">2026-08-21</t>
  </si>
  <si>
    <t xml:space="preserve">2026-08-24</t>
  </si>
  <si>
    <t xml:space="preserve">T-087</t>
  </si>
  <si>
    <t xml:space="preserve">Customer support workflow + FAQ</t>
  </si>
  <si>
    <t xml:space="preserve">cs</t>
  </si>
  <si>
    <t xml:space="preserve">CS</t>
  </si>
  <si>
    <t xml:space="preserve">feature/087-cs</t>
  </si>
  <si>
    <t xml:space="preserve">2026-08-25</t>
  </si>
  <si>
    <t xml:space="preserve">2026-08-26</t>
  </si>
  <si>
    <t xml:space="preserve">TOTAL</t>
  </si>
  <si>
    <t xml:space="preserve">Name</t>
  </si>
  <si>
    <t xml:space="preserve">Target Date</t>
  </si>
  <si>
    <t xml:space="preserve">Required Tasks</t>
  </si>
  <si>
    <t xml:space="preserve">Exit Criteria</t>
  </si>
  <si>
    <t xml:space="preserve">M1</t>
  </si>
  <si>
    <t xml:space="preserve">Setup Complete</t>
  </si>
  <si>
    <t xml:space="preserve">T-001..T-011</t>
  </si>
  <si>
    <t xml:space="preserve">CI/CD green, login E2E</t>
  </si>
  <si>
    <t xml:space="preserve">M2</t>
  </si>
  <si>
    <t xml:space="preserve">Catalog Ready</t>
  </si>
  <si>
    <t xml:space="preserve">2026-05-30</t>
  </si>
  <si>
    <t xml:space="preserve">T-020..T-028</t>
  </si>
  <si>
    <t xml:space="preserve">Profile/Heart/Follow/FanClub E2E</t>
  </si>
  <si>
    <t xml:space="preserve">M3</t>
  </si>
  <si>
    <t xml:space="preserve">Chat &amp; Shop Ready</t>
  </si>
  <si>
    <t xml:space="preserve">2026-07-04</t>
  </si>
  <si>
    <t xml:space="preserve">T-040..T-049</t>
  </si>
  <si>
    <t xml:space="preserve">Chat + PhotoCard checkout E2E</t>
  </si>
  <si>
    <t xml:space="preserve">M4</t>
  </si>
  <si>
    <t xml:space="preserve">Audition Ready</t>
  </si>
  <si>
    <t xml:space="preserve">2026-08-01</t>
  </si>
  <si>
    <t xml:space="preserve">T-060..T-068</t>
  </si>
  <si>
    <t xml:space="preserve">Round vote E2E, ranking cron OK</t>
  </si>
  <si>
    <t xml:space="preserve">M5</t>
  </si>
  <si>
    <t xml:space="preserve">GA (Release)</t>
  </si>
  <si>
    <t xml:space="preserve">T-080..T-087</t>
  </si>
  <si>
    <t xml:space="preserve">Integration test PASS, store approval</t>
  </si>
  <si>
    <t xml:space="preserve">TC ID</t>
  </si>
  <si>
    <t xml:space="preserve">Type</t>
  </si>
  <si>
    <t xml:space="preserve">Feature (FR)</t>
  </si>
  <si>
    <t xml:space="preserve">Title</t>
  </si>
  <si>
    <t xml:space="preserve">Pre-condition</t>
  </si>
  <si>
    <t xml:space="preserve">Steps</t>
  </si>
  <si>
    <t xml:space="preserve">Expected</t>
  </si>
  <si>
    <t xml:space="preserve">Linked Task</t>
  </si>
  <si>
    <t xml:space="preserve">TC-001</t>
  </si>
  <si>
    <t xml:space="preserve">Unit</t>
  </si>
  <si>
    <t xml:space="preserve">FR-001</t>
  </si>
  <si>
    <t xml:space="preserve">Email signup success</t>
  </si>
  <si>
    <t xml:space="preserve">No account with email X</t>
  </si>
  <si>
    <t xml:space="preserve">1) POST /auth/signup with unique email 2) receive verification 3) verify</t>
  </si>
  <si>
    <t xml:space="preserve">201 Created, verify link works</t>
  </si>
  <si>
    <t xml:space="preserve">High</t>
  </si>
  <si>
    <t xml:space="preserve">TC-002</t>
  </si>
  <si>
    <t xml:space="preserve">Signup conflict (duplicate email)</t>
  </si>
  <si>
    <t xml:space="preserve">Email X already exists</t>
  </si>
  <si>
    <t xml:space="preserve">POST /auth/signup with X</t>
  </si>
  <si>
    <t xml:space="preserve">409 Conflict</t>
  </si>
  <si>
    <t xml:space="preserve">TC-003</t>
  </si>
  <si>
    <t xml:space="preserve">Under-age signup blocked</t>
  </si>
  <si>
    <t xml:space="preserve">Birthdate=today-13y</t>
  </si>
  <si>
    <t xml:space="preserve">POST /auth/signup</t>
  </si>
  <si>
    <t xml:space="preserve">422 UNDER_AGE</t>
  </si>
  <si>
    <t xml:space="preserve">TC-004</t>
  </si>
  <si>
    <t xml:space="preserve">Kakao OAuth token accepted</t>
  </si>
  <si>
    <t xml:space="preserve">Valid kakao id_token</t>
  </si>
  <si>
    <t xml:space="preserve">POST /auth/social</t>
  </si>
  <si>
    <t xml:space="preserve">200 OK with tokens</t>
  </si>
  <si>
    <t xml:space="preserve">TC-010</t>
  </si>
  <si>
    <t xml:space="preserve">FR-003</t>
  </si>
  <si>
    <t xml:space="preserve">Idol list pagination</t>
  </si>
  <si>
    <t xml:space="preserve">99 idols seeded</t>
  </si>
  <si>
    <t xml:space="preserve">GET /idols?page=1&amp;size=20</t>
  </si>
  <si>
    <t xml:space="preserve">20 rows, nextCursor set</t>
  </si>
  <si>
    <t xml:space="preserve">TC-011</t>
  </si>
  <si>
    <t xml:space="preserve">Idol list cache hit</t>
  </si>
  <si>
    <t xml:space="preserve">Second consecutive call</t>
  </si>
  <si>
    <t xml:space="preserve">Inspect Redis key catalog:idols:*</t>
  </si>
  <si>
    <t xml:space="preserve">TTL &gt; 0, DB not hit</t>
  </si>
  <si>
    <t xml:space="preserve">Med</t>
  </si>
  <si>
    <t xml:space="preserve">TC-012</t>
  </si>
  <si>
    <t xml:space="preserve">Idol detail returns media</t>
  </si>
  <si>
    <t xml:space="preserve">Idol has 3 media assets</t>
  </si>
  <si>
    <t xml:space="preserve">GET /idols/:id</t>
  </si>
  <si>
    <t xml:space="preserve">200 with media[] length 3</t>
  </si>
  <si>
    <t xml:space="preserve">TC-015</t>
  </si>
  <si>
    <t xml:space="preserve">FR-004</t>
  </si>
  <si>
    <t xml:space="preserve">Heart idempotent</t>
  </si>
  <si>
    <t xml:space="preserve">User already hearted</t>
  </si>
  <si>
    <t xml:space="preserve">POST /idols/:id/heart x2</t>
  </si>
  <si>
    <t xml:space="preserve">heartCount unchanged after 2nd</t>
  </si>
  <si>
    <t xml:space="preserve">TC-016</t>
  </si>
  <si>
    <t xml:space="preserve">FR-005</t>
  </si>
  <si>
    <t xml:space="preserve">Follow toggles correctly</t>
  </si>
  <si>
    <t xml:space="preserve">User not following</t>
  </si>
  <si>
    <t xml:space="preserve">follow, then unfollow</t>
  </si>
  <si>
    <t xml:space="preserve">State transitions visible in /me/follows</t>
  </si>
  <si>
    <t xml:space="preserve">TC-020</t>
  </si>
  <si>
    <t xml:space="preserve">FR-006</t>
  </si>
  <si>
    <t xml:space="preserve">Join fan club creates chat room</t>
  </si>
  <si>
    <t xml:space="preserve">Not yet member</t>
  </si>
  <si>
    <t xml:space="preserve">POST /fan-clubs/:id/join</t>
  </si>
  <si>
    <t xml:space="preserve">Membership + chat_room created with 5 daily coupons</t>
  </si>
  <si>
    <t xml:space="preserve">T-022,T-041</t>
  </si>
  <si>
    <t xml:space="preserve">TC-030</t>
  </si>
  <si>
    <t xml:space="preserve">FR-007</t>
  </si>
  <si>
    <t xml:space="preserve">Chat message consumes coupon</t>
  </si>
  <si>
    <t xml:space="preserve">balance=5</t>
  </si>
  <si>
    <t xml:space="preserve">ws chat:send</t>
  </si>
  <si>
    <t xml:space="preserve">balance=4, message delivered</t>
  </si>
  <si>
    <t xml:space="preserve">TC-031</t>
  </si>
  <si>
    <t xml:space="preserve">Chat blocked when balance=0</t>
  </si>
  <si>
    <t xml:space="preserve">balance=0</t>
  </si>
  <si>
    <t xml:space="preserve">402 NO_COUPON</t>
  </si>
  <si>
    <t xml:space="preserve">TC-032</t>
  </si>
  <si>
    <t xml:space="preserve">FR-008</t>
  </si>
  <si>
    <t xml:space="preserve">Auto message does not deduct</t>
  </si>
  <si>
    <t xml:space="preserve">Cron fires auto-msg</t>
  </si>
  <si>
    <t xml:space="preserve">Observe coupon balance</t>
  </si>
  <si>
    <t xml:space="preserve">No change</t>
  </si>
  <si>
    <t xml:space="preserve">TC-033</t>
  </si>
  <si>
    <t xml:space="preserve">Profanity filter blocks message</t>
  </si>
  <si>
    <t xml:space="preserve">Text contains banned word</t>
  </si>
  <si>
    <t xml:space="preserve">400 FILTERED + no insert</t>
  </si>
  <si>
    <t xml:space="preserve">TC-034</t>
  </si>
  <si>
    <t xml:space="preserve">FR-009</t>
  </si>
  <si>
    <t xml:space="preserve">Buy chat coupon 30 add</t>
  </si>
  <si>
    <t xml:space="preserve">Valid receipt for pkg=30</t>
  </si>
  <si>
    <t xml:space="preserve">POST /orders/verify</t>
  </si>
  <si>
    <t xml:space="preserve">balance += 30</t>
  </si>
  <si>
    <t xml:space="preserve">TC-035</t>
  </si>
  <si>
    <t xml:space="preserve">Perf</t>
  </si>
  <si>
    <t xml:space="preserve">NFR-002</t>
  </si>
  <si>
    <t xml:space="preserve">Chat delivery &lt; 1s p95</t>
  </si>
  <si>
    <t xml:space="preserve">200 active WS clients</t>
  </si>
  <si>
    <t xml:space="preserve">k6 WS send</t>
  </si>
  <si>
    <t xml:space="preserve">p95 &lt; 1000ms</t>
  </si>
  <si>
    <t xml:space="preserve">TC-040</t>
  </si>
  <si>
    <t xml:space="preserve">FR-010</t>
  </si>
  <si>
    <t xml:space="preserve">Photo card random draw</t>
  </si>
  <si>
    <t xml:space="preserve">set has 12 items</t>
  </si>
  <si>
    <t xml:space="preserve">POST /shop/cards/:setId/buy</t>
  </si>
  <si>
    <t xml:space="preserve">User gets exactly 1 card, order linked</t>
  </si>
  <si>
    <t xml:space="preserve">TC-041</t>
  </si>
  <si>
    <t xml:space="preserve">Duplicate purchase allowed</t>
  </si>
  <si>
    <t xml:space="preserve">Same set bought twice</t>
  </si>
  <si>
    <t xml:space="preserve">Two purchases</t>
  </si>
  <si>
    <t xml:space="preserve">Both cards saved, may duplicate</t>
  </si>
  <si>
    <t xml:space="preserve">TC-042</t>
  </si>
  <si>
    <t xml:space="preserve">Receipt reuse rejected</t>
  </si>
  <si>
    <t xml:space="preserve">Same tx_id submitted twice</t>
  </si>
  <si>
    <t xml:space="preserve">POST /orders/verify twice</t>
  </si>
  <si>
    <t xml:space="preserve">Second call 409 DUPLICATE_RECEIPT</t>
  </si>
  <si>
    <t xml:space="preserve">TC-043</t>
  </si>
  <si>
    <t xml:space="preserve">UI</t>
  </si>
  <si>
    <t xml:space="preserve">FR-012</t>
  </si>
  <si>
    <t xml:space="preserve">Instagram share watermark visible</t>
  </si>
  <si>
    <t xml:space="preserve">Any owned card</t>
  </si>
  <si>
    <t xml:space="preserve">Share via OS sheet</t>
  </si>
  <si>
    <t xml:space="preserve">Image includes logo + idol name</t>
  </si>
  <si>
    <t xml:space="preserve">TC-050</t>
  </si>
  <si>
    <t xml:space="preserve">FR-013</t>
  </si>
  <si>
    <t xml:space="preserve">Cast vote decrements tickets</t>
  </si>
  <si>
    <t xml:space="preserve">balance=10, amount=3</t>
  </si>
  <si>
    <t xml:space="preserve">POST /audition/rounds/:id/vote</t>
  </si>
  <si>
    <t xml:space="preserve">balance=7, votes row inserted</t>
  </si>
  <si>
    <t xml:space="preserve">TC-051</t>
  </si>
  <si>
    <t xml:space="preserve">Insufficient tickets rejected</t>
  </si>
  <si>
    <t xml:space="preserve">balance=2, amount=3</t>
  </si>
  <si>
    <t xml:space="preserve">POST vote</t>
  </si>
  <si>
    <t xml:space="preserve">402 NOT_ENOUGH</t>
  </si>
  <si>
    <t xml:space="preserve">TC-052</t>
  </si>
  <si>
    <t xml:space="preserve">Vote after deadline rejected</t>
  </si>
  <si>
    <t xml:space="preserve">Round ended 1s ago</t>
  </si>
  <si>
    <t xml:space="preserve">409 ROUND_CLOSED</t>
  </si>
  <si>
    <t xml:space="preserve">TC-053</t>
  </si>
  <si>
    <t xml:space="preserve">FR-014</t>
  </si>
  <si>
    <t xml:space="preserve">Weight validation enforced</t>
  </si>
  <si>
    <t xml:space="preserve">rule sum=0.98</t>
  </si>
  <si>
    <t xml:space="preserve">Create VoteRule</t>
  </si>
  <si>
    <t xml:space="preserve">400 INVALID_WEIGHTS</t>
  </si>
  <si>
    <t xml:space="preserve">TC-054</t>
  </si>
  <si>
    <t xml:space="preserve">NFR-004</t>
  </si>
  <si>
    <t xml:space="preserve">50k concurrent votes</t>
  </si>
  <si>
    <t xml:space="preserve">Staging pumped traffic</t>
  </si>
  <si>
    <t xml:space="preserve">k6 scenario</t>
  </si>
  <si>
    <t xml:space="preserve">p95 &lt; 800ms, 0 lost</t>
  </si>
  <si>
    <t xml:space="preserve">TC-055</t>
  </si>
  <si>
    <t xml:space="preserve">FR-016</t>
  </si>
  <si>
    <t xml:space="preserve">Rankings refresh every 5 min</t>
  </si>
  <si>
    <t xml:space="preserve">Cron enabled</t>
  </si>
  <si>
    <t xml:space="preserve">Wait 5 min after votes</t>
  </si>
  <si>
    <t xml:space="preserve">round_rankings updated, rank set</t>
  </si>
  <si>
    <t xml:space="preserve">TC-060</t>
  </si>
  <si>
    <t xml:space="preserve">FR-017</t>
  </si>
  <si>
    <t xml:space="preserve">Marketing push blocked at 22:00</t>
  </si>
  <si>
    <t xml:space="preserve">push_opt_in=true</t>
  </si>
  <si>
    <t xml:space="preserve">Schedule marketing push</t>
  </si>
  <si>
    <t xml:space="preserve">Deferred to 09:00</t>
  </si>
  <si>
    <t xml:space="preserve">TC-101</t>
  </si>
  <si>
    <t xml:space="preserve">FR-102</t>
  </si>
  <si>
    <t xml:space="preserve">CMS idol edit propagates in 60s</t>
  </si>
  <si>
    <t xml:space="preserve">Published idol</t>
  </si>
  <si>
    <t xml:space="preserve">Edit profile name</t>
  </si>
  <si>
    <t xml:space="preserve">Mobile detail shows new name ≤60s</t>
  </si>
  <si>
    <t xml:space="preserve">TC-104</t>
  </si>
  <si>
    <t xml:space="preserve">FR-104</t>
  </si>
  <si>
    <t xml:space="preserve">Cannot open round before close of prior</t>
  </si>
  <si>
    <t xml:space="preserve">R1 active</t>
  </si>
  <si>
    <t xml:space="preserve">Attempt open R2</t>
  </si>
  <si>
    <t xml:space="preserve">Blocked w/ validation error</t>
  </si>
  <si>
    <t xml:space="preserve">TC-105</t>
  </si>
  <si>
    <t xml:space="preserve">FR-105</t>
  </si>
  <si>
    <t xml:space="preserve">Cannot edit vote rule after round start</t>
  </si>
  <si>
    <t xml:space="preserve">Round active</t>
  </si>
  <si>
    <t xml:space="preserve">Try edit rule</t>
  </si>
  <si>
    <t xml:space="preserve">Disabled, draft only</t>
  </si>
  <si>
    <t xml:space="preserve">TC-107</t>
  </si>
  <si>
    <t xml:space="preserve">FR-107</t>
  </si>
  <si>
    <t xml:space="preserve">Analytics CSV export</t>
  </si>
  <si>
    <t xml:space="preserve">Data in range</t>
  </si>
  <si>
    <t xml:space="preserve">Export button</t>
  </si>
  <si>
    <t xml:space="preserve">CSV with correct headers, ≤5 min delay</t>
  </si>
  <si>
    <t xml:space="preserve">ITC-001</t>
  </si>
  <si>
    <t xml:space="preserve">Integration</t>
  </si>
  <si>
    <t xml:space="preserve">FR-001..FR-006</t>
  </si>
  <si>
    <t xml:space="preserve">New user onboarding end-to-end</t>
  </si>
  <si>
    <t xml:space="preserve">Fresh device</t>
  </si>
  <si>
    <t xml:space="preserve">Signup → browse idols → heart → follow → join fan club</t>
  </si>
  <si>
    <t xml:space="preserve">User reaches chat room with 5 coupons</t>
  </si>
  <si>
    <t xml:space="preserve">ITC-002</t>
  </si>
  <si>
    <t xml:space="preserve">FR-007..FR-009</t>
  </si>
  <si>
    <t xml:space="preserve">Chat + coupon lifecycle</t>
  </si>
  <si>
    <t xml:space="preserve">Member</t>
  </si>
  <si>
    <t xml:space="preserve">Send 5 msgs → buy coupon → send 3 more</t>
  </si>
  <si>
    <t xml:space="preserve">Balance flows correctly, AI replies received</t>
  </si>
  <si>
    <t xml:space="preserve">ITC-003</t>
  </si>
  <si>
    <t xml:space="preserve">FR-010..FR-012</t>
  </si>
  <si>
    <t xml:space="preserve">Photo card purchase + share</t>
  </si>
  <si>
    <t xml:space="preserve">Buy 3 sets → view collection → share 1</t>
  </si>
  <si>
    <t xml:space="preserve">3 cards owned, share works</t>
  </si>
  <si>
    <t xml:space="preserve">ITC-004</t>
  </si>
  <si>
    <t xml:space="preserve">FR-013..FR-016</t>
  </si>
  <si>
    <t xml:space="preserve">Audition voting lifecycle</t>
  </si>
  <si>
    <t xml:space="preserve">Buy tickets → cast 3 times → view rankings</t>
  </si>
  <si>
    <t xml:space="preserve">Vote counted, ranking visible ≤5min</t>
  </si>
  <si>
    <t xml:space="preserve">ITC-005</t>
  </si>
  <si>
    <t xml:space="preserve">Regression</t>
  </si>
  <si>
    <t xml:space="preserve">All</t>
  </si>
  <si>
    <t xml:space="preserve">Existing regression pack</t>
  </si>
  <si>
    <t xml:space="preserve">After each sprint</t>
  </si>
  <si>
    <t xml:space="preserve">Full RN + CMS regression suite</t>
  </si>
  <si>
    <t xml:space="preserve">No P0/P1 fails</t>
  </si>
  <si>
    <t xml:space="preserve">Method</t>
  </si>
  <si>
    <t xml:space="preserve">Path</t>
  </si>
  <si>
    <t xml:space="preserve">Auth</t>
  </si>
  <si>
    <t xml:space="preserve">Description</t>
  </si>
  <si>
    <t xml:space="preserve">Module</t>
  </si>
  <si>
    <t xml:space="preserve">Linked FR</t>
  </si>
  <si>
    <t xml:space="preserve">POST</t>
  </si>
  <si>
    <t xml:space="preserve">/auth/signup</t>
  </si>
  <si>
    <t xml:space="preserve">Public</t>
  </si>
  <si>
    <t xml:space="preserve">Email signup</t>
  </si>
  <si>
    <t xml:space="preserve">identity</t>
  </si>
  <si>
    <t xml:space="preserve">/auth/login</t>
  </si>
  <si>
    <t xml:space="preserve">Email login</t>
  </si>
  <si>
    <t xml:space="preserve">/auth/social</t>
  </si>
  <si>
    <t xml:space="preserve">Social login (Apple/Google/Kakao)</t>
  </si>
  <si>
    <t xml:space="preserve">/auth/refresh</t>
  </si>
  <si>
    <t xml:space="preserve">Refresh</t>
  </si>
  <si>
    <t xml:space="preserve">Rotate refresh token</t>
  </si>
  <si>
    <t xml:space="preserve">GET</t>
  </si>
  <si>
    <t xml:space="preserve">/me</t>
  </si>
  <si>
    <t xml:space="preserve">JWT</t>
  </si>
  <si>
    <t xml:space="preserve">Current user profile</t>
  </si>
  <si>
    <t xml:space="preserve">FR-002</t>
  </si>
  <si>
    <t xml:space="preserve">PATCH</t>
  </si>
  <si>
    <t xml:space="preserve">Update nickname / instagram</t>
  </si>
  <si>
    <t xml:space="preserve">/idols</t>
  </si>
  <si>
    <t xml:space="preserve">List idols</t>
  </si>
  <si>
    <t xml:space="preserve">catalog</t>
  </si>
  <si>
    <t xml:space="preserve">/idols/:id</t>
  </si>
  <si>
    <t xml:space="preserve">Idol detail</t>
  </si>
  <si>
    <t xml:space="preserve">/idols/:id/heart</t>
  </si>
  <si>
    <t xml:space="preserve">Heart / unheart</t>
  </si>
  <si>
    <t xml:space="preserve">fandom</t>
  </si>
  <si>
    <t xml:space="preserve">/idols/:id/follow</t>
  </si>
  <si>
    <t xml:space="preserve">Follow / unfollow</t>
  </si>
  <si>
    <t xml:space="preserve">/fan-clubs/:id/join</t>
  </si>
  <si>
    <t xml:space="preserve">Join fan club</t>
  </si>
  <si>
    <t xml:space="preserve">DELETE</t>
  </si>
  <si>
    <t xml:space="preserve">/fan-clubs/:id/leave</t>
  </si>
  <si>
    <t xml:space="preserve">Leave fan club</t>
  </si>
  <si>
    <t xml:space="preserve">/me/chat-rooms</t>
  </si>
  <si>
    <t xml:space="preserve">My chat rooms</t>
  </si>
  <si>
    <t xml:space="preserve">chat</t>
  </si>
  <si>
    <t xml:space="preserve">/chat/:roomId/messages</t>
  </si>
  <si>
    <t xml:space="preserve">Paginated messages</t>
  </si>
  <si>
    <t xml:space="preserve">WS</t>
  </si>
  <si>
    <t xml:space="preserve">/ws/chat</t>
  </si>
  <si>
    <t xml:space="preserve">Chat socket (send/receive/typing)</t>
  </si>
  <si>
    <t xml:space="preserve">/me/coupons</t>
  </si>
  <si>
    <t xml:space="preserve">Chat coupon balance</t>
  </si>
  <si>
    <t xml:space="preserve">/orders/verify</t>
  </si>
  <si>
    <t xml:space="preserve">IAP receipt verify</t>
  </si>
  <si>
    <t xml:space="preserve">commerce</t>
  </si>
  <si>
    <t xml:space="preserve">FR-010/FR-015</t>
  </si>
  <si>
    <t xml:space="preserve">/shop/cards</t>
  </si>
  <si>
    <t xml:space="preserve">Photo card sets list</t>
  </si>
  <si>
    <t xml:space="preserve">/shop/cards/:setId/buy</t>
  </si>
  <si>
    <t xml:space="preserve">Buy (draw) a card</t>
  </si>
  <si>
    <t xml:space="preserve">/me/cards</t>
  </si>
  <si>
    <t xml:space="preserve">My card collection</t>
  </si>
  <si>
    <t xml:space="preserve">FR-011</t>
  </si>
  <si>
    <t xml:space="preserve">/cards/:id/share</t>
  </si>
  <si>
    <t xml:space="preserve">Generate share image</t>
  </si>
  <si>
    <t xml:space="preserve">/auditions/current</t>
  </si>
  <si>
    <t xml:space="preserve">Current audition + rounds</t>
  </si>
  <si>
    <t xml:space="preserve">audition</t>
  </si>
  <si>
    <t xml:space="preserve">/audition/rounds/:id</t>
  </si>
  <si>
    <t xml:space="preserve">Round detail</t>
  </si>
  <si>
    <t xml:space="preserve">/audition/rounds/:id/vote</t>
  </si>
  <si>
    <t xml:space="preserve">Cast vote</t>
  </si>
  <si>
    <t xml:space="preserve">FR-013/FR-014</t>
  </si>
  <si>
    <t xml:space="preserve">/audition/rounds/:id/rankings</t>
  </si>
  <si>
    <t xml:space="preserve">Rankings snapshot</t>
  </si>
  <si>
    <t xml:space="preserve">/shop/tickets/buy</t>
  </si>
  <si>
    <t xml:space="preserve">Buy vote tickets</t>
  </si>
  <si>
    <t xml:space="preserve">FR-015</t>
  </si>
  <si>
    <t xml:space="preserve">/push/tokens</t>
  </si>
  <si>
    <t xml:space="preserve">Register push token</t>
  </si>
  <si>
    <t xml:space="preserve">notification</t>
  </si>
  <si>
    <t xml:space="preserve">/me/notifications</t>
  </si>
  <si>
    <t xml:space="preserve">Notifications list</t>
  </si>
  <si>
    <t xml:space="preserve">/me/orders</t>
  </si>
  <si>
    <t xml:space="preserve">Purchase history</t>
  </si>
  <si>
    <t xml:space="preserve">FR-018</t>
  </si>
  <si>
    <t xml:space="preserve">/admin/login</t>
  </si>
  <si>
    <t xml:space="preserve">Admin login</t>
  </si>
  <si>
    <t xml:space="preserve">adminops</t>
  </si>
  <si>
    <t xml:space="preserve">CMS auth</t>
  </si>
  <si>
    <t xml:space="preserve">/admin/idols</t>
  </si>
  <si>
    <t xml:space="preserve">Admin</t>
  </si>
  <si>
    <t xml:space="preserve">Create idol</t>
  </si>
  <si>
    <t xml:space="preserve">/admin/idols/:id</t>
  </si>
  <si>
    <t xml:space="preserve">Update idol</t>
  </si>
  <si>
    <t xml:space="preserve">/admin/auto-messages</t>
  </si>
  <si>
    <t xml:space="preserve">Set auto message template</t>
  </si>
  <si>
    <t xml:space="preserve">FR-103</t>
  </si>
  <si>
    <t xml:space="preserve">/admin/auditions</t>
  </si>
  <si>
    <t xml:space="preserve">Create audition</t>
  </si>
  <si>
    <t xml:space="preserve">/admin/audition/rounds</t>
  </si>
  <si>
    <t xml:space="preserve">Create round</t>
  </si>
  <si>
    <t xml:space="preserve">/admin/audition/rounds/:id</t>
  </si>
  <si>
    <t xml:space="preserve">Open/close round</t>
  </si>
  <si>
    <t xml:space="preserve">/admin/vote-rules</t>
  </si>
  <si>
    <t xml:space="preserve">Create vote rule</t>
  </si>
  <si>
    <t xml:space="preserve">/admin/analytics/votes</t>
  </si>
  <si>
    <t xml:space="preserve">Vote aggregates</t>
  </si>
  <si>
    <t xml:space="preserve">/admin/analytics/revenue</t>
  </si>
  <si>
    <t xml:space="preserve">Revenue aggregates</t>
  </si>
  <si>
    <t xml:space="preserve">/admin/users</t>
  </si>
  <si>
    <t xml:space="preserve">User search</t>
  </si>
  <si>
    <t xml:space="preserve">FR-110</t>
  </si>
  <si>
    <t xml:space="preserve">Screen ID</t>
  </si>
  <si>
    <t xml:space="preserve">Platform</t>
  </si>
  <si>
    <t xml:space="preserve">Route</t>
  </si>
  <si>
    <t xml:space="preserve">Notes</t>
  </si>
  <si>
    <t xml:space="preserve">SCR-MOB-001</t>
  </si>
  <si>
    <t xml:space="preserve">Splash / Onboarding</t>
  </si>
  <si>
    <t xml:space="preserve">/splash</t>
  </si>
  <si>
    <t xml:space="preserve">3p guide</t>
  </si>
  <si>
    <t xml:space="preserve">SCR-MOB-002</t>
  </si>
  <si>
    <t xml:space="preserve">Sign-in</t>
  </si>
  <si>
    <t xml:space="preserve">/auth/sign-in</t>
  </si>
  <si>
    <t xml:space="preserve">Social + email</t>
  </si>
  <si>
    <t xml:space="preserve">SCR-MOB-003</t>
  </si>
  <si>
    <t xml:space="preserve">Sign-up Extra</t>
  </si>
  <si>
    <t xml:space="preserve">/auth/profile-setup</t>
  </si>
  <si>
    <t xml:space="preserve">Nickname / birth</t>
  </si>
  <si>
    <t xml:space="preserve">SCR-MOB-010</t>
  </si>
  <si>
    <t xml:space="preserve">Home (Discover)</t>
  </si>
  <si>
    <t xml:space="preserve">/tabs/home</t>
  </si>
  <si>
    <t xml:space="preserve">Feed + banner</t>
  </si>
  <si>
    <t xml:space="preserve">SCR-MOB-011</t>
  </si>
  <si>
    <t xml:space="preserve">Idol List</t>
  </si>
  <si>
    <t xml:space="preserve">/tabs/idols</t>
  </si>
  <si>
    <t xml:space="preserve">99 grid</t>
  </si>
  <si>
    <t xml:space="preserve">SCR-MOB-012</t>
  </si>
  <si>
    <t xml:space="preserve">Idol Detail</t>
  </si>
  <si>
    <t xml:space="preserve">Heart/Follow/Join</t>
  </si>
  <si>
    <t xml:space="preserve">SCR-MOB-020</t>
  </si>
  <si>
    <t xml:space="preserve">My Fan Clubs</t>
  </si>
  <si>
    <t xml:space="preserve">/tabs/my-clubs</t>
  </si>
  <si>
    <t xml:space="preserve">joined list</t>
  </si>
  <si>
    <t xml:space="preserve">SCR-MOB-030</t>
  </si>
  <si>
    <t xml:space="preserve">Chat Room</t>
  </si>
  <si>
    <t xml:space="preserve">/chat/:roomId</t>
  </si>
  <si>
    <t xml:space="preserve">Auth+Member</t>
  </si>
  <si>
    <t xml:space="preserve">SCR-MOB-031</t>
  </si>
  <si>
    <t xml:space="preserve">Coupon Purchase Modal</t>
  </si>
  <si>
    <t xml:space="preserve">overlay</t>
  </si>
  <si>
    <t xml:space="preserve">Packages</t>
  </si>
  <si>
    <t xml:space="preserve">SCR-MOB-040</t>
  </si>
  <si>
    <t xml:space="preserve">Photo Card Shop</t>
  </si>
  <si>
    <t xml:space="preserve">SCR-MOB-041</t>
  </si>
  <si>
    <t xml:space="preserve">Draw Result</t>
  </si>
  <si>
    <t xml:space="preserve">Animation</t>
  </si>
  <si>
    <t xml:space="preserve">SCR-MOB-042</t>
  </si>
  <si>
    <t xml:space="preserve">My Collection</t>
  </si>
  <si>
    <t xml:space="preserve">SCR-MOB-050</t>
  </si>
  <si>
    <t xml:space="preserve">Audition Overview</t>
  </si>
  <si>
    <t xml:space="preserve">/tabs/audition</t>
  </si>
  <si>
    <t xml:space="preserve">SCR-MOB-051</t>
  </si>
  <si>
    <t xml:space="preserve">Round Vote</t>
  </si>
  <si>
    <t xml:space="preserve">/audition/:roundId</t>
  </si>
  <si>
    <t xml:space="preserve">SCR-MOB-052</t>
  </si>
  <si>
    <t xml:space="preserve">Vote Ticket Shop</t>
  </si>
  <si>
    <t xml:space="preserve">/shop/tickets</t>
  </si>
  <si>
    <t xml:space="preserve">SCR-MOB-053</t>
  </si>
  <si>
    <t xml:space="preserve">Rankings</t>
  </si>
  <si>
    <t xml:space="preserve">/audition/:roundId/rankings</t>
  </si>
  <si>
    <t xml:space="preserve">SCR-MOB-060</t>
  </si>
  <si>
    <t xml:space="preserve">Profile / Settings</t>
  </si>
  <si>
    <t xml:space="preserve">/tabs/me</t>
  </si>
  <si>
    <t xml:space="preserve">SCR-CMS-001</t>
  </si>
  <si>
    <t xml:space="preserve">Admin Login</t>
  </si>
  <si>
    <t xml:space="preserve">/login</t>
  </si>
  <si>
    <t xml:space="preserve">MFA</t>
  </si>
  <si>
    <t xml:space="preserve">SCR-CMS-002</t>
  </si>
  <si>
    <t xml:space="preserve">Dashboard</t>
  </si>
  <si>
    <t xml:space="preserve">/</t>
  </si>
  <si>
    <t xml:space="preserve">Summary</t>
  </si>
  <si>
    <t xml:space="preserve">SCR-CMS-010</t>
  </si>
  <si>
    <t xml:space="preserve">Idol Manager</t>
  </si>
  <si>
    <t xml:space="preserve">content_admin</t>
  </si>
  <si>
    <t xml:space="preserve">SCR-CMS-011</t>
  </si>
  <si>
    <t xml:space="preserve">Idol Detail/Edit</t>
  </si>
  <si>
    <t xml:space="preserve">SCR-CMS-012</t>
  </si>
  <si>
    <t xml:space="preserve">Agency Manager</t>
  </si>
  <si>
    <t xml:space="preserve">/agencies</t>
  </si>
  <si>
    <t xml:space="preserve">SCR-CMS-013</t>
  </si>
  <si>
    <t xml:space="preserve">Auto Message Templates</t>
  </si>
  <si>
    <t xml:space="preserve">/chat/templates</t>
  </si>
  <si>
    <t xml:space="preserve">SCR-CMS-020</t>
  </si>
  <si>
    <t xml:space="preserve">Audition Manager</t>
  </si>
  <si>
    <t xml:space="preserve">/auditions</t>
  </si>
  <si>
    <t xml:space="preserve">audition_admin</t>
  </si>
  <si>
    <t xml:space="preserve">SCR-CMS-021</t>
  </si>
  <si>
    <t xml:space="preserve">Vote Rule Editor</t>
  </si>
  <si>
    <t xml:space="preserve">/auditions/:id/rules</t>
  </si>
  <si>
    <t xml:space="preserve">SCR-CMS-022</t>
  </si>
  <si>
    <t xml:space="preserve">Round Monitor</t>
  </si>
  <si>
    <t xml:space="preserve">/auditions/:id/rounds/:rid</t>
  </si>
  <si>
    <t xml:space="preserve">SCR-CMS-030</t>
  </si>
  <si>
    <t xml:space="preserve">Analytics</t>
  </si>
  <si>
    <t xml:space="preserve">/analytics</t>
  </si>
  <si>
    <t xml:space="preserve">super_admin</t>
  </si>
  <si>
    <t xml:space="preserve">SCR-CMS-031</t>
  </si>
  <si>
    <t xml:space="preserve">Photo Card Sets</t>
  </si>
  <si>
    <t xml:space="preserve">/cards</t>
  </si>
  <si>
    <t xml:space="preserve">SCR-CMS-040</t>
  </si>
  <si>
    <t xml:space="preserve">User CS Console</t>
  </si>
  <si>
    <t xml:space="preserve">/users</t>
  </si>
  <si>
    <t xml:space="preserve">cs_admin</t>
  </si>
  <si>
    <t xml:space="preserve">SCR-CMS-041</t>
  </si>
  <si>
    <t xml:space="preserve">Report Queue</t>
  </si>
  <si>
    <t xml:space="preserve">/reports</t>
  </si>
  <si>
    <t xml:space="preserve">Risk</t>
  </si>
  <si>
    <t xml:space="preserve">Likelihood</t>
  </si>
  <si>
    <t xml:space="preserve">Impact</t>
  </si>
  <si>
    <t xml:space="preserve">Score</t>
  </si>
  <si>
    <t xml:space="preserve">Owner</t>
  </si>
  <si>
    <t xml:space="preserve">Mitigation</t>
  </si>
  <si>
    <t xml:space="preserve">R-01</t>
  </si>
  <si>
    <t xml:space="preserve">App store / Play review delay</t>
  </si>
  <si>
    <t xml:space="preserve">H</t>
  </si>
  <si>
    <t xml:space="preserve">Pre-submission 2 weeks early, policy docs</t>
  </si>
  <si>
    <t xml:space="preserve">R-02</t>
  </si>
  <si>
    <t xml:space="preserve">Audition traffic spike</t>
  </si>
  <si>
    <t xml:space="preserve">M</t>
  </si>
  <si>
    <t xml:space="preserve">Redis counter + BullMQ agg + partition + load test W16</t>
  </si>
  <si>
    <t xml:space="preserve">R-03</t>
  </si>
  <si>
    <t xml:space="preserve">Receipt forgery / reuse</t>
  </si>
  <si>
    <t xml:space="preserve">receipts UNIQUE + server verify + Idempotency-Key</t>
  </si>
  <si>
    <t xml:space="preserve">R-04</t>
  </si>
  <si>
    <t xml:space="preserve">AI idol reply quality</t>
  </si>
  <si>
    <t xml:space="preserve">MVP templated pool + Phase2 LLM</t>
  </si>
  <si>
    <t xml:space="preserve">R-05</t>
  </si>
  <si>
    <t xml:space="preserve">99 idol seeding delay</t>
  </si>
  <si>
    <t xml:space="preserve">Contract early + parallel sample data</t>
  </si>
  <si>
    <t xml:space="preserve">R-06</t>
  </si>
  <si>
    <t xml:space="preserve">RN version compatibility</t>
  </si>
  <si>
    <t xml:space="preserve">L</t>
  </si>
  <si>
    <t xml:space="preserve">Pin 0.74, upgrade outside sprint</t>
  </si>
  <si>
    <t xml:space="preserve">R-07</t>
  </si>
  <si>
    <t xml:space="preserve">SMS vote vendor uncertainty</t>
  </si>
  <si>
    <t xml:space="preserve">ADR-004 stub for MVP, finalize before finals</t>
  </si>
  <si>
    <t xml:space="preserve">Definition</t>
  </si>
  <si>
    <t xml:space="preserve">Target (T+3mo)</t>
  </si>
  <si>
    <t xml:space="preserve">Source</t>
  </si>
  <si>
    <t xml:space="preserve">Frequency</t>
  </si>
  <si>
    <t xml:space="preserve">DAU</t>
  </si>
  <si>
    <t xml:space="preserve">Unique users active in the day</t>
  </si>
  <si>
    <t xml:space="preserve">20,000</t>
  </si>
  <si>
    <t xml:space="preserve">BI table user_activity</t>
  </si>
  <si>
    <t xml:space="preserve">Daily</t>
  </si>
  <si>
    <t xml:space="preserve">D30 Retention</t>
  </si>
  <si>
    <t xml:space="preserve">% users returning within 30 days</t>
  </si>
  <si>
    <t xml:space="preserve">25%</t>
  </si>
  <si>
    <t xml:space="preserve">cohort_retention</t>
  </si>
  <si>
    <t xml:space="preserve">Weekly</t>
  </si>
  <si>
    <t xml:space="preserve">Fan Club Conversion</t>
  </si>
  <si>
    <t xml:space="preserve">Members / logged-in users</t>
  </si>
  <si>
    <t xml:space="preserve">15%</t>
  </si>
  <si>
    <t xml:space="preserve">memberships</t>
  </si>
  <si>
    <t xml:space="preserve">ARPPU</t>
  </si>
  <si>
    <t xml:space="preserve">Revenue / paying users</t>
  </si>
  <si>
    <t xml:space="preserve">₩15,000 /mo</t>
  </si>
  <si>
    <t xml:space="preserve">orders</t>
  </si>
  <si>
    <t xml:space="preserve">Audition Participation</t>
  </si>
  <si>
    <t xml:space="preserve">Voters / MAU</t>
  </si>
  <si>
    <t xml:space="preserve">40%</t>
  </si>
  <si>
    <t xml:space="preserve">votes, users</t>
  </si>
  <si>
    <t xml:space="preserve">Per round</t>
  </si>
  <si>
    <t xml:space="preserve">Coupon Repurchase</t>
  </si>
  <si>
    <t xml:space="preserve">Users with &gt;=2 coupon orders</t>
  </si>
  <si>
    <t xml:space="preserve">10%</t>
  </si>
  <si>
    <t xml:space="preserve">Crash-free users</t>
  </si>
  <si>
    <t xml:space="preserve">Sessions without crash</t>
  </si>
  <si>
    <t xml:space="preserve">99.8%</t>
  </si>
  <si>
    <t xml:space="preserve">Sentry</t>
  </si>
  <si>
    <t xml:space="preserve">API p95</t>
  </si>
  <si>
    <t xml:space="preserve">95th percentile latency</t>
  </si>
  <si>
    <t xml:space="preserve">&lt;300ms</t>
  </si>
  <si>
    <t xml:space="preserve">Datadog APM</t>
  </si>
  <si>
    <t xml:space="preserve">Real-time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</si>
</sst>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E2761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15" hidden="false" customHeight="false" outlineLevel="0" collapsed="false">
      <c r="A15" s="3" t="s">
        <v>24</v>
      </c>
      <c r="B15" s="4" t="s">
        <v>25</v>
      </c>
    </row>
    <row r="17" customFormat="false" ht="16.15" hidden="false" customHeight="false" outlineLevel="0" collapsed="false">
      <c r="A17" s="5" t="s">
        <v>26</v>
      </c>
    </row>
    <row r="18" customFormat="false" ht="15" hidden="false" customHeight="false" outlineLevel="0" collapsed="false">
      <c r="A18" s="6" t="s">
        <v>27</v>
      </c>
      <c r="B18" s="4" t="s">
        <v>28</v>
      </c>
    </row>
    <row r="19" customFormat="false" ht="15" hidden="false" customHeight="false" outlineLevel="0" collapsed="false">
      <c r="A19" s="6" t="s">
        <v>29</v>
      </c>
      <c r="B19" s="4" t="s">
        <v>30</v>
      </c>
    </row>
    <row r="20" customFormat="false" ht="15" hidden="false" customHeight="false" outlineLevel="0" collapsed="false">
      <c r="A20" s="6" t="s">
        <v>31</v>
      </c>
      <c r="B20" s="4" t="s">
        <v>32</v>
      </c>
    </row>
    <row r="21" customFormat="false" ht="15" hidden="false" customHeight="false" outlineLevel="0" collapsed="false">
      <c r="A21" s="6" t="s">
        <v>33</v>
      </c>
      <c r="B21" s="4" t="s">
        <v>34</v>
      </c>
    </row>
    <row r="22" customFormat="false" ht="15" hidden="false" customHeight="false" outlineLevel="0" collapsed="false">
      <c r="A22" s="6" t="s">
        <v>35</v>
      </c>
      <c r="B22" s="4" t="s">
        <v>36</v>
      </c>
    </row>
    <row r="23" customFormat="false" ht="15" hidden="false" customHeight="false" outlineLevel="0" collapsed="false">
      <c r="A23" s="6" t="s">
        <v>37</v>
      </c>
      <c r="B23" s="4" t="s">
        <v>38</v>
      </c>
    </row>
    <row r="24" customFormat="false" ht="15" hidden="false" customHeight="false" outlineLevel="0" collapsed="false">
      <c r="A24" s="6" t="s">
        <v>39</v>
      </c>
      <c r="B24" s="4" t="s">
        <v>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4" min="3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8"/>
    <col collapsed="false" customWidth="true" hidden="false" outlineLevel="0" max="12" min="11" style="0" width="12"/>
    <col collapsed="false" customWidth="true" hidden="false" outlineLevel="0" max="13" min="13" style="0" width="11"/>
  </cols>
  <sheetData>
    <row r="1" customFormat="false" ht="26.85" hidden="false" customHeight="false" outlineLevel="0" collapsed="false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 t="s">
        <v>53</v>
      </c>
    </row>
    <row r="2" customFormat="false" ht="15" hidden="false" customHeight="false" outlineLevel="0" collapsed="false">
      <c r="A2" s="8" t="s">
        <v>54</v>
      </c>
      <c r="B2" s="8" t="s">
        <v>55</v>
      </c>
      <c r="C2" s="8" t="s">
        <v>56</v>
      </c>
      <c r="D2" s="8" t="s">
        <v>57</v>
      </c>
      <c r="E2" s="8" t="s">
        <v>58</v>
      </c>
      <c r="F2" s="8" t="n">
        <v>1</v>
      </c>
      <c r="G2" s="8"/>
      <c r="H2" s="8" t="s">
        <v>59</v>
      </c>
      <c r="I2" s="8"/>
      <c r="J2" s="8" t="s">
        <v>60</v>
      </c>
      <c r="K2" s="8" t="s">
        <v>17</v>
      </c>
      <c r="L2" s="8" t="s">
        <v>17</v>
      </c>
      <c r="M2" s="8" t="s">
        <v>61</v>
      </c>
    </row>
    <row r="3" customFormat="false" ht="15" hidden="false" customHeight="false" outlineLevel="0" collapsed="false">
      <c r="A3" s="8" t="s">
        <v>62</v>
      </c>
      <c r="B3" s="8" t="s">
        <v>63</v>
      </c>
      <c r="C3" s="8" t="s">
        <v>56</v>
      </c>
      <c r="D3" s="8" t="s">
        <v>64</v>
      </c>
      <c r="E3" s="8" t="s">
        <v>58</v>
      </c>
      <c r="F3" s="8" t="n">
        <v>2</v>
      </c>
      <c r="G3" s="8" t="s">
        <v>54</v>
      </c>
      <c r="H3" s="8" t="s">
        <v>10</v>
      </c>
      <c r="I3" s="8"/>
      <c r="J3" s="8" t="s">
        <v>65</v>
      </c>
      <c r="K3" s="8" t="s">
        <v>66</v>
      </c>
      <c r="L3" s="8" t="s">
        <v>67</v>
      </c>
      <c r="M3" s="8" t="s">
        <v>61</v>
      </c>
    </row>
    <row r="4" customFormat="false" ht="15" hidden="false" customHeight="false" outlineLevel="0" collapsed="false">
      <c r="A4" s="8" t="s">
        <v>68</v>
      </c>
      <c r="B4" s="8" t="s">
        <v>69</v>
      </c>
      <c r="C4" s="8" t="s">
        <v>56</v>
      </c>
      <c r="D4" s="8" t="s">
        <v>70</v>
      </c>
      <c r="E4" s="8" t="s">
        <v>58</v>
      </c>
      <c r="F4" s="8" t="n">
        <v>2</v>
      </c>
      <c r="G4" s="8" t="s">
        <v>54</v>
      </c>
      <c r="H4" s="8" t="s">
        <v>10</v>
      </c>
      <c r="I4" s="8"/>
      <c r="J4" s="8" t="s">
        <v>71</v>
      </c>
      <c r="K4" s="8" t="s">
        <v>66</v>
      </c>
      <c r="L4" s="8" t="s">
        <v>67</v>
      </c>
      <c r="M4" s="8" t="s">
        <v>61</v>
      </c>
    </row>
    <row r="5" customFormat="false" ht="15" hidden="false" customHeight="false" outlineLevel="0" collapsed="false">
      <c r="A5" s="8" t="s">
        <v>72</v>
      </c>
      <c r="B5" s="8" t="s">
        <v>73</v>
      </c>
      <c r="C5" s="8" t="s">
        <v>56</v>
      </c>
      <c r="D5" s="8" t="s">
        <v>70</v>
      </c>
      <c r="E5" s="8" t="s">
        <v>58</v>
      </c>
      <c r="F5" s="8" t="n">
        <v>1</v>
      </c>
      <c r="G5" s="8" t="s">
        <v>68</v>
      </c>
      <c r="H5" s="8" t="s">
        <v>10</v>
      </c>
      <c r="I5" s="8"/>
      <c r="J5" s="8" t="s">
        <v>74</v>
      </c>
      <c r="K5" s="8" t="s">
        <v>75</v>
      </c>
      <c r="L5" s="8" t="s">
        <v>75</v>
      </c>
      <c r="M5" s="8" t="s">
        <v>61</v>
      </c>
    </row>
    <row r="6" customFormat="false" ht="15" hidden="false" customHeight="false" outlineLevel="0" collapsed="false">
      <c r="A6" s="8" t="s">
        <v>76</v>
      </c>
      <c r="B6" s="8" t="s">
        <v>77</v>
      </c>
      <c r="C6" s="8" t="s">
        <v>56</v>
      </c>
      <c r="D6" s="8" t="s">
        <v>78</v>
      </c>
      <c r="E6" s="8" t="s">
        <v>58</v>
      </c>
      <c r="F6" s="8" t="n">
        <v>2</v>
      </c>
      <c r="G6" s="8" t="s">
        <v>54</v>
      </c>
      <c r="H6" s="8" t="s">
        <v>6</v>
      </c>
      <c r="I6" s="8"/>
      <c r="J6" s="8" t="s">
        <v>79</v>
      </c>
      <c r="K6" s="8" t="s">
        <v>66</v>
      </c>
      <c r="L6" s="8" t="s">
        <v>67</v>
      </c>
      <c r="M6" s="8" t="s">
        <v>61</v>
      </c>
    </row>
    <row r="7" customFormat="false" ht="15" hidden="false" customHeight="false" outlineLevel="0" collapsed="false">
      <c r="A7" s="8" t="s">
        <v>80</v>
      </c>
      <c r="B7" s="8" t="s">
        <v>81</v>
      </c>
      <c r="C7" s="8" t="s">
        <v>56</v>
      </c>
      <c r="D7" s="8" t="s">
        <v>82</v>
      </c>
      <c r="E7" s="8" t="s">
        <v>58</v>
      </c>
      <c r="F7" s="8" t="n">
        <v>2</v>
      </c>
      <c r="G7" s="8" t="s">
        <v>54</v>
      </c>
      <c r="H7" s="8" t="s">
        <v>8</v>
      </c>
      <c r="I7" s="8"/>
      <c r="J7" s="8" t="s">
        <v>83</v>
      </c>
      <c r="K7" s="8" t="s">
        <v>66</v>
      </c>
      <c r="L7" s="8" t="s">
        <v>67</v>
      </c>
      <c r="M7" s="8" t="s">
        <v>61</v>
      </c>
    </row>
    <row r="8" customFormat="false" ht="15" hidden="false" customHeight="false" outlineLevel="0" collapsed="false">
      <c r="A8" s="8" t="s">
        <v>84</v>
      </c>
      <c r="B8" s="8" t="s">
        <v>85</v>
      </c>
      <c r="C8" s="8" t="s">
        <v>56</v>
      </c>
      <c r="D8" s="8" t="s">
        <v>86</v>
      </c>
      <c r="E8" s="8" t="s">
        <v>58</v>
      </c>
      <c r="F8" s="8" t="n">
        <v>2</v>
      </c>
      <c r="G8" s="8" t="s">
        <v>87</v>
      </c>
      <c r="H8" s="8" t="s">
        <v>59</v>
      </c>
      <c r="I8" s="8"/>
      <c r="J8" s="8" t="s">
        <v>88</v>
      </c>
      <c r="K8" s="8" t="s">
        <v>89</v>
      </c>
      <c r="L8" s="8" t="s">
        <v>90</v>
      </c>
      <c r="M8" s="8" t="s">
        <v>61</v>
      </c>
    </row>
    <row r="9" customFormat="false" ht="15" hidden="false" customHeight="false" outlineLevel="0" collapsed="false">
      <c r="A9" s="8" t="s">
        <v>91</v>
      </c>
      <c r="B9" s="8" t="s">
        <v>92</v>
      </c>
      <c r="C9" s="8" t="s">
        <v>56</v>
      </c>
      <c r="D9" s="8" t="s">
        <v>86</v>
      </c>
      <c r="E9" s="8" t="s">
        <v>58</v>
      </c>
      <c r="F9" s="8" t="n">
        <v>3</v>
      </c>
      <c r="G9" s="8" t="s">
        <v>93</v>
      </c>
      <c r="H9" s="8" t="s">
        <v>59</v>
      </c>
      <c r="I9" s="8"/>
      <c r="J9" s="8" t="s">
        <v>94</v>
      </c>
      <c r="K9" s="8" t="s">
        <v>95</v>
      </c>
      <c r="L9" s="8" t="s">
        <v>96</v>
      </c>
      <c r="M9" s="8" t="s">
        <v>61</v>
      </c>
    </row>
    <row r="10" customFormat="false" ht="15" hidden="false" customHeight="false" outlineLevel="0" collapsed="false">
      <c r="A10" s="8" t="s">
        <v>97</v>
      </c>
      <c r="B10" s="8" t="s">
        <v>98</v>
      </c>
      <c r="C10" s="8" t="s">
        <v>56</v>
      </c>
      <c r="D10" s="8" t="s">
        <v>70</v>
      </c>
      <c r="E10" s="8" t="s">
        <v>58</v>
      </c>
      <c r="F10" s="8" t="n">
        <v>4</v>
      </c>
      <c r="G10" s="8" t="s">
        <v>72</v>
      </c>
      <c r="H10" s="8" t="s">
        <v>10</v>
      </c>
      <c r="I10" s="8"/>
      <c r="J10" s="8" t="s">
        <v>99</v>
      </c>
      <c r="K10" s="8" t="s">
        <v>89</v>
      </c>
      <c r="L10" s="8" t="s">
        <v>100</v>
      </c>
      <c r="M10" s="8" t="s">
        <v>61</v>
      </c>
    </row>
    <row r="11" customFormat="false" ht="15" hidden="false" customHeight="false" outlineLevel="0" collapsed="false">
      <c r="A11" s="8" t="s">
        <v>101</v>
      </c>
      <c r="B11" s="8" t="s">
        <v>102</v>
      </c>
      <c r="C11" s="8" t="s">
        <v>56</v>
      </c>
      <c r="D11" s="8" t="s">
        <v>78</v>
      </c>
      <c r="E11" s="8" t="s">
        <v>58</v>
      </c>
      <c r="F11" s="8" t="n">
        <v>3</v>
      </c>
      <c r="G11" s="8" t="s">
        <v>103</v>
      </c>
      <c r="H11" s="8" t="s">
        <v>6</v>
      </c>
      <c r="I11" s="8"/>
      <c r="J11" s="8" t="s">
        <v>104</v>
      </c>
      <c r="K11" s="8" t="s">
        <v>96</v>
      </c>
      <c r="L11" s="8" t="s">
        <v>105</v>
      </c>
      <c r="M11" s="8" t="s">
        <v>61</v>
      </c>
    </row>
    <row r="12" customFormat="false" ht="15" hidden="false" customHeight="false" outlineLevel="0" collapsed="false">
      <c r="A12" s="8" t="s">
        <v>106</v>
      </c>
      <c r="B12" s="8" t="s">
        <v>107</v>
      </c>
      <c r="C12" s="8" t="s">
        <v>56</v>
      </c>
      <c r="D12" s="8" t="s">
        <v>82</v>
      </c>
      <c r="E12" s="8" t="s">
        <v>58</v>
      </c>
      <c r="F12" s="8" t="n">
        <v>2</v>
      </c>
      <c r="G12" s="8" t="s">
        <v>108</v>
      </c>
      <c r="H12" s="8" t="s">
        <v>8</v>
      </c>
      <c r="I12" s="8"/>
      <c r="J12" s="8" t="s">
        <v>109</v>
      </c>
      <c r="K12" s="8" t="s">
        <v>96</v>
      </c>
      <c r="L12" s="8" t="s">
        <v>110</v>
      </c>
      <c r="M12" s="8" t="s">
        <v>61</v>
      </c>
    </row>
    <row r="13" customFormat="false" ht="15" hidden="false" customHeight="false" outlineLevel="0" collapsed="false">
      <c r="A13" s="8" t="s">
        <v>111</v>
      </c>
      <c r="B13" s="8" t="s">
        <v>112</v>
      </c>
      <c r="C13" s="8" t="s">
        <v>113</v>
      </c>
      <c r="D13" s="8" t="s">
        <v>70</v>
      </c>
      <c r="E13" s="8" t="s">
        <v>58</v>
      </c>
      <c r="F13" s="8" t="n">
        <v>4</v>
      </c>
      <c r="G13" s="8" t="s">
        <v>97</v>
      </c>
      <c r="H13" s="8" t="s">
        <v>10</v>
      </c>
      <c r="I13" s="8"/>
      <c r="J13" s="8" t="s">
        <v>114</v>
      </c>
      <c r="K13" s="8" t="s">
        <v>115</v>
      </c>
      <c r="L13" s="8" t="s">
        <v>116</v>
      </c>
      <c r="M13" s="8" t="s">
        <v>61</v>
      </c>
    </row>
    <row r="14" customFormat="false" ht="15" hidden="false" customHeight="false" outlineLevel="0" collapsed="false">
      <c r="A14" s="8" t="s">
        <v>117</v>
      </c>
      <c r="B14" s="8" t="s">
        <v>118</v>
      </c>
      <c r="C14" s="8" t="s">
        <v>113</v>
      </c>
      <c r="D14" s="8" t="s">
        <v>70</v>
      </c>
      <c r="E14" s="8" t="s">
        <v>58</v>
      </c>
      <c r="F14" s="8" t="n">
        <v>2</v>
      </c>
      <c r="G14" s="8" t="s">
        <v>111</v>
      </c>
      <c r="H14" s="8" t="s">
        <v>10</v>
      </c>
      <c r="I14" s="8"/>
      <c r="J14" s="8" t="s">
        <v>119</v>
      </c>
      <c r="K14" s="8" t="s">
        <v>120</v>
      </c>
      <c r="L14" s="8" t="s">
        <v>121</v>
      </c>
      <c r="M14" s="8" t="s">
        <v>61</v>
      </c>
    </row>
    <row r="15" customFormat="false" ht="15" hidden="false" customHeight="false" outlineLevel="0" collapsed="false">
      <c r="A15" s="8" t="s">
        <v>122</v>
      </c>
      <c r="B15" s="8" t="s">
        <v>123</v>
      </c>
      <c r="C15" s="8" t="s">
        <v>113</v>
      </c>
      <c r="D15" s="8" t="s">
        <v>70</v>
      </c>
      <c r="E15" s="8" t="s">
        <v>58</v>
      </c>
      <c r="F15" s="8" t="n">
        <v>3</v>
      </c>
      <c r="G15" s="8" t="s">
        <v>111</v>
      </c>
      <c r="H15" s="8" t="s">
        <v>10</v>
      </c>
      <c r="I15" s="8"/>
      <c r="J15" s="8" t="s">
        <v>124</v>
      </c>
      <c r="K15" s="8" t="s">
        <v>125</v>
      </c>
      <c r="L15" s="8" t="s">
        <v>126</v>
      </c>
      <c r="M15" s="8" t="s">
        <v>61</v>
      </c>
    </row>
    <row r="16" customFormat="false" ht="15" hidden="false" customHeight="false" outlineLevel="0" collapsed="false">
      <c r="A16" s="8" t="s">
        <v>127</v>
      </c>
      <c r="B16" s="8" t="s">
        <v>128</v>
      </c>
      <c r="C16" s="8" t="s">
        <v>113</v>
      </c>
      <c r="D16" s="8" t="s">
        <v>78</v>
      </c>
      <c r="E16" s="8" t="s">
        <v>58</v>
      </c>
      <c r="F16" s="8" t="n">
        <v>4</v>
      </c>
      <c r="G16" s="8" t="s">
        <v>111</v>
      </c>
      <c r="H16" s="8" t="s">
        <v>6</v>
      </c>
      <c r="I16" s="8"/>
      <c r="J16" s="8" t="s">
        <v>129</v>
      </c>
      <c r="K16" s="8" t="s">
        <v>120</v>
      </c>
      <c r="L16" s="8" t="s">
        <v>130</v>
      </c>
      <c r="M16" s="8" t="s">
        <v>61</v>
      </c>
    </row>
    <row r="17" customFormat="false" ht="15" hidden="false" customHeight="false" outlineLevel="0" collapsed="false">
      <c r="A17" s="8" t="s">
        <v>131</v>
      </c>
      <c r="B17" s="8" t="s">
        <v>132</v>
      </c>
      <c r="C17" s="8" t="s">
        <v>113</v>
      </c>
      <c r="D17" s="8" t="s">
        <v>78</v>
      </c>
      <c r="E17" s="8" t="s">
        <v>58</v>
      </c>
      <c r="F17" s="8" t="n">
        <v>2</v>
      </c>
      <c r="G17" s="8" t="s">
        <v>117</v>
      </c>
      <c r="H17" s="8" t="s">
        <v>6</v>
      </c>
      <c r="I17" s="8"/>
      <c r="J17" s="8" t="s">
        <v>133</v>
      </c>
      <c r="K17" s="8" t="s">
        <v>126</v>
      </c>
      <c r="L17" s="8" t="s">
        <v>134</v>
      </c>
      <c r="M17" s="8" t="s">
        <v>61</v>
      </c>
    </row>
    <row r="18" customFormat="false" ht="15" hidden="false" customHeight="false" outlineLevel="0" collapsed="false">
      <c r="A18" s="8" t="s">
        <v>135</v>
      </c>
      <c r="B18" s="8" t="s">
        <v>136</v>
      </c>
      <c r="C18" s="8" t="s">
        <v>113</v>
      </c>
      <c r="D18" s="8" t="s">
        <v>78</v>
      </c>
      <c r="E18" s="8" t="s">
        <v>58</v>
      </c>
      <c r="F18" s="8" t="n">
        <v>3</v>
      </c>
      <c r="G18" s="8" t="s">
        <v>122</v>
      </c>
      <c r="H18" s="8" t="s">
        <v>6</v>
      </c>
      <c r="I18" s="8"/>
      <c r="J18" s="8" t="s">
        <v>137</v>
      </c>
      <c r="K18" s="8" t="s">
        <v>138</v>
      </c>
      <c r="L18" s="8" t="s">
        <v>139</v>
      </c>
      <c r="M18" s="8" t="s">
        <v>61</v>
      </c>
    </row>
    <row r="19" customFormat="false" ht="15" hidden="false" customHeight="false" outlineLevel="0" collapsed="false">
      <c r="A19" s="8" t="s">
        <v>140</v>
      </c>
      <c r="B19" s="8" t="s">
        <v>141</v>
      </c>
      <c r="C19" s="8" t="s">
        <v>113</v>
      </c>
      <c r="D19" s="8" t="s">
        <v>82</v>
      </c>
      <c r="E19" s="8" t="s">
        <v>58</v>
      </c>
      <c r="F19" s="8" t="n">
        <v>5</v>
      </c>
      <c r="G19" s="8" t="s">
        <v>111</v>
      </c>
      <c r="H19" s="8" t="s">
        <v>8</v>
      </c>
      <c r="I19" s="8"/>
      <c r="J19" s="8" t="s">
        <v>142</v>
      </c>
      <c r="K19" s="8" t="s">
        <v>120</v>
      </c>
      <c r="L19" s="8" t="s">
        <v>126</v>
      </c>
      <c r="M19" s="8" t="s">
        <v>61</v>
      </c>
    </row>
    <row r="20" customFormat="false" ht="15" hidden="false" customHeight="false" outlineLevel="0" collapsed="false">
      <c r="A20" s="8" t="s">
        <v>143</v>
      </c>
      <c r="B20" s="8" t="s">
        <v>144</v>
      </c>
      <c r="C20" s="8" t="s">
        <v>113</v>
      </c>
      <c r="D20" s="8" t="s">
        <v>82</v>
      </c>
      <c r="E20" s="8" t="s">
        <v>58</v>
      </c>
      <c r="F20" s="8" t="n">
        <v>3</v>
      </c>
      <c r="G20" s="8" t="s">
        <v>122</v>
      </c>
      <c r="H20" s="8" t="s">
        <v>8</v>
      </c>
      <c r="I20" s="8"/>
      <c r="J20" s="8" t="s">
        <v>145</v>
      </c>
      <c r="K20" s="8" t="s">
        <v>138</v>
      </c>
      <c r="L20" s="8" t="s">
        <v>139</v>
      </c>
      <c r="M20" s="8" t="s">
        <v>61</v>
      </c>
    </row>
    <row r="21" customFormat="false" ht="15" hidden="false" customHeight="false" outlineLevel="0" collapsed="false">
      <c r="A21" s="8" t="s">
        <v>146</v>
      </c>
      <c r="B21" s="8" t="s">
        <v>147</v>
      </c>
      <c r="C21" s="8" t="s">
        <v>113</v>
      </c>
      <c r="D21" s="8" t="s">
        <v>148</v>
      </c>
      <c r="E21" s="8" t="s">
        <v>58</v>
      </c>
      <c r="F21" s="8" t="n">
        <v>2</v>
      </c>
      <c r="G21" s="8" t="s">
        <v>140</v>
      </c>
      <c r="H21" s="8" t="s">
        <v>149</v>
      </c>
      <c r="I21" s="8"/>
      <c r="J21" s="8" t="s">
        <v>150</v>
      </c>
      <c r="K21" s="8" t="s">
        <v>151</v>
      </c>
      <c r="L21" s="8" t="s">
        <v>152</v>
      </c>
      <c r="M21" s="8" t="s">
        <v>61</v>
      </c>
    </row>
    <row r="22" customFormat="false" ht="15" hidden="false" customHeight="false" outlineLevel="0" collapsed="false">
      <c r="A22" s="8" t="s">
        <v>153</v>
      </c>
      <c r="B22" s="8" t="s">
        <v>154</v>
      </c>
      <c r="C22" s="8" t="s">
        <v>155</v>
      </c>
      <c r="D22" s="8" t="s">
        <v>70</v>
      </c>
      <c r="E22" s="8" t="s">
        <v>58</v>
      </c>
      <c r="F22" s="8" t="n">
        <v>5</v>
      </c>
      <c r="G22" s="8" t="s">
        <v>122</v>
      </c>
      <c r="H22" s="8" t="s">
        <v>10</v>
      </c>
      <c r="I22" s="8"/>
      <c r="J22" s="8" t="s">
        <v>156</v>
      </c>
      <c r="K22" s="8" t="s">
        <v>157</v>
      </c>
      <c r="L22" s="8" t="s">
        <v>158</v>
      </c>
      <c r="M22" s="8" t="s">
        <v>61</v>
      </c>
    </row>
    <row r="23" customFormat="false" ht="15" hidden="false" customHeight="false" outlineLevel="0" collapsed="false">
      <c r="A23" s="8" t="s">
        <v>159</v>
      </c>
      <c r="B23" s="8" t="s">
        <v>160</v>
      </c>
      <c r="C23" s="8" t="s">
        <v>155</v>
      </c>
      <c r="D23" s="8" t="s">
        <v>70</v>
      </c>
      <c r="E23" s="8" t="s">
        <v>58</v>
      </c>
      <c r="F23" s="8" t="n">
        <v>3</v>
      </c>
      <c r="G23" s="8" t="s">
        <v>153</v>
      </c>
      <c r="H23" s="8" t="s">
        <v>10</v>
      </c>
      <c r="I23" s="8"/>
      <c r="J23" s="8" t="s">
        <v>161</v>
      </c>
      <c r="K23" s="8" t="s">
        <v>162</v>
      </c>
      <c r="L23" s="8" t="s">
        <v>163</v>
      </c>
      <c r="M23" s="8" t="s">
        <v>61</v>
      </c>
    </row>
    <row r="24" customFormat="false" ht="15" hidden="false" customHeight="false" outlineLevel="0" collapsed="false">
      <c r="A24" s="8" t="s">
        <v>164</v>
      </c>
      <c r="B24" s="8" t="s">
        <v>165</v>
      </c>
      <c r="C24" s="8" t="s">
        <v>155</v>
      </c>
      <c r="D24" s="8" t="s">
        <v>70</v>
      </c>
      <c r="E24" s="8" t="s">
        <v>58</v>
      </c>
      <c r="F24" s="8" t="n">
        <v>3</v>
      </c>
      <c r="G24" s="8" t="s">
        <v>159</v>
      </c>
      <c r="H24" s="8" t="s">
        <v>10</v>
      </c>
      <c r="I24" s="8"/>
      <c r="J24" s="8" t="s">
        <v>166</v>
      </c>
      <c r="K24" s="8" t="s">
        <v>167</v>
      </c>
      <c r="L24" s="8" t="s">
        <v>168</v>
      </c>
      <c r="M24" s="8" t="s">
        <v>61</v>
      </c>
    </row>
    <row r="25" customFormat="false" ht="15" hidden="false" customHeight="false" outlineLevel="0" collapsed="false">
      <c r="A25" s="8" t="s">
        <v>169</v>
      </c>
      <c r="B25" s="8" t="s">
        <v>170</v>
      </c>
      <c r="C25" s="8" t="s">
        <v>155</v>
      </c>
      <c r="D25" s="8" t="s">
        <v>78</v>
      </c>
      <c r="E25" s="8" t="s">
        <v>58</v>
      </c>
      <c r="F25" s="8" t="n">
        <v>5</v>
      </c>
      <c r="G25" s="8" t="s">
        <v>153</v>
      </c>
      <c r="H25" s="8" t="s">
        <v>6</v>
      </c>
      <c r="I25" s="8"/>
      <c r="J25" s="8" t="s">
        <v>171</v>
      </c>
      <c r="K25" s="8" t="s">
        <v>162</v>
      </c>
      <c r="L25" s="8" t="s">
        <v>172</v>
      </c>
      <c r="M25" s="8" t="s">
        <v>61</v>
      </c>
    </row>
    <row r="26" customFormat="false" ht="15" hidden="false" customHeight="false" outlineLevel="0" collapsed="false">
      <c r="A26" s="8" t="s">
        <v>173</v>
      </c>
      <c r="B26" s="8" t="s">
        <v>174</v>
      </c>
      <c r="C26" s="8" t="s">
        <v>155</v>
      </c>
      <c r="D26" s="8" t="s">
        <v>70</v>
      </c>
      <c r="E26" s="8" t="s">
        <v>58</v>
      </c>
      <c r="F26" s="8" t="n">
        <v>5</v>
      </c>
      <c r="G26" s="8" t="s">
        <v>97</v>
      </c>
      <c r="H26" s="8" t="s">
        <v>10</v>
      </c>
      <c r="I26" s="8"/>
      <c r="J26" s="8" t="s">
        <v>175</v>
      </c>
      <c r="K26" s="8" t="s">
        <v>168</v>
      </c>
      <c r="L26" s="8" t="s">
        <v>176</v>
      </c>
      <c r="M26" s="8" t="s">
        <v>61</v>
      </c>
    </row>
    <row r="27" customFormat="false" ht="15" hidden="false" customHeight="false" outlineLevel="0" collapsed="false">
      <c r="A27" s="8" t="s">
        <v>177</v>
      </c>
      <c r="B27" s="8" t="s">
        <v>178</v>
      </c>
      <c r="C27" s="8" t="s">
        <v>155</v>
      </c>
      <c r="D27" s="8" t="s">
        <v>70</v>
      </c>
      <c r="E27" s="8" t="s">
        <v>58</v>
      </c>
      <c r="F27" s="8" t="n">
        <v>3</v>
      </c>
      <c r="G27" s="8" t="s">
        <v>173</v>
      </c>
      <c r="H27" s="8" t="s">
        <v>10</v>
      </c>
      <c r="I27" s="8"/>
      <c r="J27" s="8" t="s">
        <v>179</v>
      </c>
      <c r="K27" s="8" t="s">
        <v>180</v>
      </c>
      <c r="L27" s="8" t="s">
        <v>181</v>
      </c>
      <c r="M27" s="8" t="s">
        <v>61</v>
      </c>
    </row>
    <row r="28" customFormat="false" ht="15" hidden="false" customHeight="false" outlineLevel="0" collapsed="false">
      <c r="A28" s="8" t="s">
        <v>182</v>
      </c>
      <c r="B28" s="8" t="s">
        <v>183</v>
      </c>
      <c r="C28" s="8" t="s">
        <v>155</v>
      </c>
      <c r="D28" s="8" t="s">
        <v>78</v>
      </c>
      <c r="E28" s="8" t="s">
        <v>58</v>
      </c>
      <c r="F28" s="8" t="n">
        <v>4</v>
      </c>
      <c r="G28" s="8" t="s">
        <v>173</v>
      </c>
      <c r="H28" s="8" t="s">
        <v>6</v>
      </c>
      <c r="I28" s="8"/>
      <c r="J28" s="8" t="s">
        <v>184</v>
      </c>
      <c r="K28" s="8" t="s">
        <v>180</v>
      </c>
      <c r="L28" s="8" t="s">
        <v>185</v>
      </c>
      <c r="M28" s="8" t="s">
        <v>61</v>
      </c>
    </row>
    <row r="29" customFormat="false" ht="15" hidden="false" customHeight="false" outlineLevel="0" collapsed="false">
      <c r="A29" s="8" t="s">
        <v>186</v>
      </c>
      <c r="B29" s="8" t="s">
        <v>187</v>
      </c>
      <c r="C29" s="8" t="s">
        <v>155</v>
      </c>
      <c r="D29" s="8" t="s">
        <v>78</v>
      </c>
      <c r="E29" s="8" t="s">
        <v>58</v>
      </c>
      <c r="F29" s="8" t="n">
        <v>4</v>
      </c>
      <c r="G29" s="8" t="s">
        <v>188</v>
      </c>
      <c r="H29" s="8" t="s">
        <v>6</v>
      </c>
      <c r="I29" s="8"/>
      <c r="J29" s="8" t="s">
        <v>189</v>
      </c>
      <c r="K29" s="8" t="s">
        <v>190</v>
      </c>
      <c r="L29" s="8" t="s">
        <v>191</v>
      </c>
      <c r="M29" s="8" t="s">
        <v>61</v>
      </c>
    </row>
    <row r="30" customFormat="false" ht="15" hidden="false" customHeight="false" outlineLevel="0" collapsed="false">
      <c r="A30" s="8" t="s">
        <v>192</v>
      </c>
      <c r="B30" s="8" t="s">
        <v>193</v>
      </c>
      <c r="C30" s="8" t="s">
        <v>155</v>
      </c>
      <c r="D30" s="8" t="s">
        <v>194</v>
      </c>
      <c r="E30" s="8" t="s">
        <v>195</v>
      </c>
      <c r="F30" s="8" t="n">
        <v>3</v>
      </c>
      <c r="G30" s="8" t="s">
        <v>186</v>
      </c>
      <c r="H30" s="8" t="s">
        <v>6</v>
      </c>
      <c r="I30" s="8"/>
      <c r="J30" s="8" t="s">
        <v>196</v>
      </c>
      <c r="K30" s="8" t="s">
        <v>197</v>
      </c>
      <c r="L30" s="8" t="s">
        <v>198</v>
      </c>
      <c r="M30" s="8" t="s">
        <v>61</v>
      </c>
    </row>
    <row r="31" customFormat="false" ht="15" hidden="false" customHeight="false" outlineLevel="0" collapsed="false">
      <c r="A31" s="8" t="s">
        <v>199</v>
      </c>
      <c r="B31" s="8" t="s">
        <v>200</v>
      </c>
      <c r="C31" s="8" t="s">
        <v>155</v>
      </c>
      <c r="D31" s="8" t="s">
        <v>82</v>
      </c>
      <c r="E31" s="8" t="s">
        <v>58</v>
      </c>
      <c r="F31" s="8" t="n">
        <v>3</v>
      </c>
      <c r="G31" s="8" t="s">
        <v>177</v>
      </c>
      <c r="H31" s="8" t="s">
        <v>8</v>
      </c>
      <c r="I31" s="8"/>
      <c r="J31" s="8" t="s">
        <v>201</v>
      </c>
      <c r="K31" s="8" t="s">
        <v>185</v>
      </c>
      <c r="L31" s="8" t="s">
        <v>202</v>
      </c>
      <c r="M31" s="8" t="s">
        <v>61</v>
      </c>
    </row>
    <row r="32" customFormat="false" ht="15" hidden="false" customHeight="false" outlineLevel="0" collapsed="false">
      <c r="A32" s="8" t="s">
        <v>203</v>
      </c>
      <c r="B32" s="8" t="s">
        <v>204</v>
      </c>
      <c r="C32" s="8" t="s">
        <v>205</v>
      </c>
      <c r="D32" s="8" t="s">
        <v>70</v>
      </c>
      <c r="E32" s="8" t="s">
        <v>58</v>
      </c>
      <c r="F32" s="8" t="n">
        <v>3</v>
      </c>
      <c r="G32" s="8" t="s">
        <v>111</v>
      </c>
      <c r="H32" s="8" t="s">
        <v>10</v>
      </c>
      <c r="I32" s="8"/>
      <c r="J32" s="8" t="s">
        <v>206</v>
      </c>
      <c r="K32" s="8" t="s">
        <v>207</v>
      </c>
      <c r="L32" s="8" t="s">
        <v>208</v>
      </c>
      <c r="M32" s="8" t="s">
        <v>61</v>
      </c>
    </row>
    <row r="33" customFormat="false" ht="15" hidden="false" customHeight="false" outlineLevel="0" collapsed="false">
      <c r="A33" s="8" t="s">
        <v>209</v>
      </c>
      <c r="B33" s="8" t="s">
        <v>210</v>
      </c>
      <c r="C33" s="8" t="s">
        <v>205</v>
      </c>
      <c r="D33" s="8" t="s">
        <v>70</v>
      </c>
      <c r="E33" s="8" t="s">
        <v>58</v>
      </c>
      <c r="F33" s="8" t="n">
        <v>2</v>
      </c>
      <c r="G33" s="8" t="s">
        <v>203</v>
      </c>
      <c r="H33" s="8" t="s">
        <v>10</v>
      </c>
      <c r="I33" s="8"/>
      <c r="J33" s="8" t="s">
        <v>211</v>
      </c>
      <c r="K33" s="8" t="s">
        <v>212</v>
      </c>
      <c r="L33" s="8" t="s">
        <v>213</v>
      </c>
      <c r="M33" s="8" t="s">
        <v>61</v>
      </c>
    </row>
    <row r="34" customFormat="false" ht="15" hidden="false" customHeight="false" outlineLevel="0" collapsed="false">
      <c r="A34" s="8" t="s">
        <v>214</v>
      </c>
      <c r="B34" s="8" t="s">
        <v>215</v>
      </c>
      <c r="C34" s="8" t="s">
        <v>205</v>
      </c>
      <c r="D34" s="8" t="s">
        <v>70</v>
      </c>
      <c r="E34" s="8" t="s">
        <v>58</v>
      </c>
      <c r="F34" s="8" t="n">
        <v>2</v>
      </c>
      <c r="G34" s="8" t="s">
        <v>173</v>
      </c>
      <c r="H34" s="8" t="s">
        <v>10</v>
      </c>
      <c r="I34" s="8"/>
      <c r="J34" s="8" t="s">
        <v>216</v>
      </c>
      <c r="K34" s="8" t="s">
        <v>217</v>
      </c>
      <c r="L34" s="8" t="s">
        <v>218</v>
      </c>
      <c r="M34" s="8" t="s">
        <v>61</v>
      </c>
    </row>
    <row r="35" customFormat="false" ht="15" hidden="false" customHeight="false" outlineLevel="0" collapsed="false">
      <c r="A35" s="8" t="s">
        <v>219</v>
      </c>
      <c r="B35" s="8" t="s">
        <v>220</v>
      </c>
      <c r="C35" s="8" t="s">
        <v>205</v>
      </c>
      <c r="D35" s="8" t="s">
        <v>70</v>
      </c>
      <c r="E35" s="8" t="s">
        <v>58</v>
      </c>
      <c r="F35" s="8" t="n">
        <v>3</v>
      </c>
      <c r="G35" s="8" t="s">
        <v>221</v>
      </c>
      <c r="H35" s="8" t="s">
        <v>10</v>
      </c>
      <c r="I35" s="8"/>
      <c r="J35" s="8" t="s">
        <v>222</v>
      </c>
      <c r="K35" s="8" t="s">
        <v>223</v>
      </c>
      <c r="L35" s="8" t="s">
        <v>224</v>
      </c>
      <c r="M35" s="8" t="s">
        <v>61</v>
      </c>
    </row>
    <row r="36" customFormat="false" ht="15" hidden="false" customHeight="false" outlineLevel="0" collapsed="false">
      <c r="A36" s="8" t="s">
        <v>225</v>
      </c>
      <c r="B36" s="8" t="s">
        <v>226</v>
      </c>
      <c r="C36" s="8" t="s">
        <v>205</v>
      </c>
      <c r="D36" s="8" t="s">
        <v>70</v>
      </c>
      <c r="E36" s="8" t="s">
        <v>58</v>
      </c>
      <c r="F36" s="8" t="n">
        <v>3</v>
      </c>
      <c r="G36" s="8" t="s">
        <v>219</v>
      </c>
      <c r="H36" s="8" t="s">
        <v>10</v>
      </c>
      <c r="I36" s="8"/>
      <c r="J36" s="8" t="s">
        <v>227</v>
      </c>
      <c r="K36" s="8" t="s">
        <v>228</v>
      </c>
      <c r="L36" s="8" t="s">
        <v>229</v>
      </c>
      <c r="M36" s="8" t="s">
        <v>61</v>
      </c>
    </row>
    <row r="37" customFormat="false" ht="15" hidden="false" customHeight="false" outlineLevel="0" collapsed="false">
      <c r="A37" s="8" t="s">
        <v>230</v>
      </c>
      <c r="B37" s="8" t="s">
        <v>231</v>
      </c>
      <c r="C37" s="8" t="s">
        <v>205</v>
      </c>
      <c r="D37" s="8" t="s">
        <v>78</v>
      </c>
      <c r="E37" s="8" t="s">
        <v>58</v>
      </c>
      <c r="F37" s="8" t="n">
        <v>5</v>
      </c>
      <c r="G37" s="8" t="s">
        <v>219</v>
      </c>
      <c r="H37" s="8" t="s">
        <v>6</v>
      </c>
      <c r="I37" s="8"/>
      <c r="J37" s="8" t="s">
        <v>232</v>
      </c>
      <c r="K37" s="8" t="s">
        <v>228</v>
      </c>
      <c r="L37" s="8" t="s">
        <v>233</v>
      </c>
      <c r="M37" s="8" t="s">
        <v>61</v>
      </c>
    </row>
    <row r="38" customFormat="false" ht="15" hidden="false" customHeight="false" outlineLevel="0" collapsed="false">
      <c r="A38" s="8" t="s">
        <v>234</v>
      </c>
      <c r="B38" s="8" t="s">
        <v>235</v>
      </c>
      <c r="C38" s="8" t="s">
        <v>205</v>
      </c>
      <c r="D38" s="8" t="s">
        <v>78</v>
      </c>
      <c r="E38" s="8" t="s">
        <v>58</v>
      </c>
      <c r="F38" s="8" t="n">
        <v>2</v>
      </c>
      <c r="G38" s="8" t="s">
        <v>214</v>
      </c>
      <c r="H38" s="8" t="s">
        <v>6</v>
      </c>
      <c r="I38" s="8"/>
      <c r="J38" s="8" t="s">
        <v>236</v>
      </c>
      <c r="K38" s="8" t="s">
        <v>237</v>
      </c>
      <c r="L38" s="8" t="s">
        <v>238</v>
      </c>
      <c r="M38" s="8" t="s">
        <v>61</v>
      </c>
    </row>
    <row r="39" customFormat="false" ht="15" hidden="false" customHeight="false" outlineLevel="0" collapsed="false">
      <c r="A39" s="8" t="s">
        <v>239</v>
      </c>
      <c r="B39" s="8" t="s">
        <v>240</v>
      </c>
      <c r="C39" s="8" t="s">
        <v>205</v>
      </c>
      <c r="D39" s="8" t="s">
        <v>82</v>
      </c>
      <c r="E39" s="8" t="s">
        <v>58</v>
      </c>
      <c r="F39" s="8" t="n">
        <v>5</v>
      </c>
      <c r="G39" s="8" t="s">
        <v>241</v>
      </c>
      <c r="H39" s="8" t="s">
        <v>8</v>
      </c>
      <c r="I39" s="8"/>
      <c r="J39" s="8" t="s">
        <v>242</v>
      </c>
      <c r="K39" s="8" t="s">
        <v>217</v>
      </c>
      <c r="L39" s="8" t="s">
        <v>224</v>
      </c>
      <c r="M39" s="8" t="s">
        <v>61</v>
      </c>
    </row>
    <row r="40" customFormat="false" ht="15" hidden="false" customHeight="false" outlineLevel="0" collapsed="false">
      <c r="A40" s="8" t="s">
        <v>243</v>
      </c>
      <c r="B40" s="8" t="s">
        <v>244</v>
      </c>
      <c r="C40" s="8" t="s">
        <v>205</v>
      </c>
      <c r="D40" s="8" t="s">
        <v>82</v>
      </c>
      <c r="E40" s="8" t="s">
        <v>58</v>
      </c>
      <c r="F40" s="8" t="n">
        <v>5</v>
      </c>
      <c r="G40" s="8" t="s">
        <v>245</v>
      </c>
      <c r="H40" s="8" t="s">
        <v>8</v>
      </c>
      <c r="I40" s="8"/>
      <c r="J40" s="8" t="s">
        <v>246</v>
      </c>
      <c r="K40" s="8" t="s">
        <v>247</v>
      </c>
      <c r="L40" s="8" t="s">
        <v>248</v>
      </c>
      <c r="M40" s="8" t="s">
        <v>61</v>
      </c>
    </row>
    <row r="41" customFormat="false" ht="15" hidden="false" customHeight="false" outlineLevel="0" collapsed="false">
      <c r="A41" s="8" t="s">
        <v>249</v>
      </c>
      <c r="B41" s="8" t="s">
        <v>250</v>
      </c>
      <c r="C41" s="8" t="s">
        <v>251</v>
      </c>
      <c r="D41" s="8" t="s">
        <v>86</v>
      </c>
      <c r="E41" s="8" t="s">
        <v>58</v>
      </c>
      <c r="F41" s="8" t="n">
        <v>3</v>
      </c>
      <c r="G41" s="8" t="s">
        <v>91</v>
      </c>
      <c r="H41" s="8" t="s">
        <v>59</v>
      </c>
      <c r="I41" s="8"/>
      <c r="J41" s="8" t="s">
        <v>252</v>
      </c>
      <c r="K41" s="8" t="s">
        <v>253</v>
      </c>
      <c r="L41" s="8" t="s">
        <v>254</v>
      </c>
      <c r="M41" s="8" t="s">
        <v>61</v>
      </c>
    </row>
    <row r="42" customFormat="false" ht="15" hidden="false" customHeight="false" outlineLevel="0" collapsed="false">
      <c r="A42" s="8" t="s">
        <v>255</v>
      </c>
      <c r="B42" s="8" t="s">
        <v>256</v>
      </c>
      <c r="C42" s="8" t="s">
        <v>251</v>
      </c>
      <c r="D42" s="8" t="s">
        <v>86</v>
      </c>
      <c r="E42" s="8" t="s">
        <v>58</v>
      </c>
      <c r="F42" s="8" t="n">
        <v>3</v>
      </c>
      <c r="G42" s="8" t="s">
        <v>249</v>
      </c>
      <c r="H42" s="8" t="s">
        <v>59</v>
      </c>
      <c r="I42" s="8"/>
      <c r="J42" s="8" t="s">
        <v>257</v>
      </c>
      <c r="K42" s="8" t="s">
        <v>258</v>
      </c>
      <c r="L42" s="8" t="s">
        <v>259</v>
      </c>
      <c r="M42" s="8" t="s">
        <v>61</v>
      </c>
    </row>
    <row r="43" customFormat="false" ht="15" hidden="false" customHeight="false" outlineLevel="0" collapsed="false">
      <c r="A43" s="8" t="s">
        <v>260</v>
      </c>
      <c r="B43" s="8" t="s">
        <v>261</v>
      </c>
      <c r="C43" s="8" t="s">
        <v>251</v>
      </c>
      <c r="D43" s="8" t="s">
        <v>262</v>
      </c>
      <c r="E43" s="8" t="s">
        <v>58</v>
      </c>
      <c r="F43" s="8" t="n">
        <v>4</v>
      </c>
      <c r="G43" s="8"/>
      <c r="H43" s="8" t="s">
        <v>263</v>
      </c>
      <c r="I43" s="8"/>
      <c r="J43" s="8" t="s">
        <v>264</v>
      </c>
      <c r="K43" s="8" t="s">
        <v>253</v>
      </c>
      <c r="L43" s="8" t="s">
        <v>258</v>
      </c>
      <c r="M43" s="8" t="s">
        <v>61</v>
      </c>
    </row>
    <row r="44" customFormat="false" ht="15" hidden="false" customHeight="false" outlineLevel="0" collapsed="false">
      <c r="A44" s="8" t="s">
        <v>265</v>
      </c>
      <c r="B44" s="8" t="s">
        <v>266</v>
      </c>
      <c r="C44" s="8" t="s">
        <v>251</v>
      </c>
      <c r="D44" s="8" t="s">
        <v>262</v>
      </c>
      <c r="E44" s="8" t="s">
        <v>58</v>
      </c>
      <c r="F44" s="8" t="n">
        <v>2</v>
      </c>
      <c r="G44" s="8"/>
      <c r="H44" s="8" t="s">
        <v>263</v>
      </c>
      <c r="I44" s="8"/>
      <c r="J44" s="8" t="s">
        <v>267</v>
      </c>
      <c r="K44" s="8" t="s">
        <v>268</v>
      </c>
      <c r="L44" s="8" t="s">
        <v>259</v>
      </c>
      <c r="M44" s="8" t="s">
        <v>61</v>
      </c>
    </row>
    <row r="45" customFormat="false" ht="15" hidden="false" customHeight="false" outlineLevel="0" collapsed="false">
      <c r="A45" s="8" t="s">
        <v>269</v>
      </c>
      <c r="B45" s="8" t="s">
        <v>270</v>
      </c>
      <c r="C45" s="8" t="s">
        <v>251</v>
      </c>
      <c r="D45" s="8" t="s">
        <v>262</v>
      </c>
      <c r="E45" s="8" t="s">
        <v>58</v>
      </c>
      <c r="F45" s="8" t="n">
        <v>5</v>
      </c>
      <c r="G45" s="8"/>
      <c r="H45" s="8" t="s">
        <v>263</v>
      </c>
      <c r="I45" s="8"/>
      <c r="J45" s="8" t="s">
        <v>271</v>
      </c>
      <c r="K45" s="8" t="s">
        <v>272</v>
      </c>
      <c r="L45" s="8" t="s">
        <v>273</v>
      </c>
      <c r="M45" s="8" t="s">
        <v>61</v>
      </c>
    </row>
    <row r="46" customFormat="false" ht="15" hidden="false" customHeight="false" outlineLevel="0" collapsed="false">
      <c r="A46" s="8" t="s">
        <v>274</v>
      </c>
      <c r="B46" s="8" t="s">
        <v>275</v>
      </c>
      <c r="C46" s="8" t="s">
        <v>251</v>
      </c>
      <c r="D46" s="8" t="s">
        <v>276</v>
      </c>
      <c r="E46" s="8" t="s">
        <v>58</v>
      </c>
      <c r="F46" s="8" t="n">
        <v>3</v>
      </c>
      <c r="G46" s="8" t="s">
        <v>269</v>
      </c>
      <c r="H46" s="8" t="s">
        <v>277</v>
      </c>
      <c r="I46" s="8"/>
      <c r="J46" s="8" t="s">
        <v>278</v>
      </c>
      <c r="K46" s="8" t="s">
        <v>279</v>
      </c>
      <c r="L46" s="8" t="s">
        <v>280</v>
      </c>
      <c r="M46" s="8" t="s">
        <v>61</v>
      </c>
    </row>
    <row r="47" customFormat="false" ht="15" hidden="false" customHeight="false" outlineLevel="0" collapsed="false">
      <c r="A47" s="8" t="s">
        <v>281</v>
      </c>
      <c r="B47" s="8" t="s">
        <v>282</v>
      </c>
      <c r="C47" s="8" t="s">
        <v>251</v>
      </c>
      <c r="D47" s="8" t="s">
        <v>86</v>
      </c>
      <c r="E47" s="8" t="s">
        <v>58</v>
      </c>
      <c r="F47" s="8" t="n">
        <v>2</v>
      </c>
      <c r="G47" s="8" t="s">
        <v>249</v>
      </c>
      <c r="H47" s="8" t="s">
        <v>59</v>
      </c>
      <c r="I47" s="8"/>
      <c r="J47" s="8" t="s">
        <v>283</v>
      </c>
      <c r="K47" s="8" t="s">
        <v>284</v>
      </c>
      <c r="L47" s="8" t="s">
        <v>285</v>
      </c>
      <c r="M47" s="8" t="s">
        <v>61</v>
      </c>
    </row>
    <row r="48" customFormat="false" ht="15" hidden="false" customHeight="false" outlineLevel="0" collapsed="false">
      <c r="A48" s="8" t="s">
        <v>286</v>
      </c>
      <c r="B48" s="8" t="s">
        <v>287</v>
      </c>
      <c r="C48" s="8" t="s">
        <v>251</v>
      </c>
      <c r="D48" s="8" t="s">
        <v>288</v>
      </c>
      <c r="E48" s="8" t="s">
        <v>195</v>
      </c>
      <c r="F48" s="8" t="n">
        <v>2</v>
      </c>
      <c r="G48" s="8"/>
      <c r="H48" s="8" t="s">
        <v>289</v>
      </c>
      <c r="I48" s="8"/>
      <c r="J48" s="8" t="s">
        <v>290</v>
      </c>
      <c r="K48" s="8" t="s">
        <v>291</v>
      </c>
      <c r="L48" s="8" t="s">
        <v>292</v>
      </c>
      <c r="M48" s="8" t="s">
        <v>61</v>
      </c>
    </row>
    <row r="50" customFormat="false" ht="15" hidden="false" customHeight="false" outlineLevel="0" collapsed="false">
      <c r="A50" s="3" t="s">
        <v>293</v>
      </c>
      <c r="F50" s="3" t="n">
        <f aca="false">SUM(F2:F48)</f>
        <v>144</v>
      </c>
    </row>
  </sheetData>
  <conditionalFormatting sqref="E2:E48">
    <cfRule type="expression" priority="2" aboveAverage="0" equalAverage="0" bottom="0" percent="0" rank="0" text="" dxfId="0">
      <formula>$E2="P0"</formula>
    </cfRule>
    <cfRule type="expression" priority="3" aboveAverage="0" equalAverage="0" bottom="0" percent="0" rank="0" text="" dxfId="1">
      <formula>$E2="P1"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7" t="s">
        <v>41</v>
      </c>
      <c r="B1" s="7" t="s">
        <v>294</v>
      </c>
      <c r="C1" s="7" t="s">
        <v>295</v>
      </c>
      <c r="D1" s="7" t="s">
        <v>296</v>
      </c>
      <c r="E1" s="7" t="s">
        <v>297</v>
      </c>
    </row>
    <row r="2" customFormat="false" ht="15" hidden="false" customHeight="false" outlineLevel="0" collapsed="false">
      <c r="A2" s="8" t="s">
        <v>298</v>
      </c>
      <c r="B2" s="8" t="s">
        <v>299</v>
      </c>
      <c r="C2" s="8" t="s">
        <v>105</v>
      </c>
      <c r="D2" s="8" t="s">
        <v>300</v>
      </c>
      <c r="E2" s="8" t="s">
        <v>301</v>
      </c>
    </row>
    <row r="3" customFormat="false" ht="15" hidden="false" customHeight="false" outlineLevel="0" collapsed="false">
      <c r="A3" s="8" t="s">
        <v>302</v>
      </c>
      <c r="B3" s="8" t="s">
        <v>303</v>
      </c>
      <c r="C3" s="8" t="s">
        <v>304</v>
      </c>
      <c r="D3" s="8" t="s">
        <v>305</v>
      </c>
      <c r="E3" s="8" t="s">
        <v>306</v>
      </c>
    </row>
    <row r="4" customFormat="false" ht="15" hidden="false" customHeight="false" outlineLevel="0" collapsed="false">
      <c r="A4" s="8" t="s">
        <v>307</v>
      </c>
      <c r="B4" s="8" t="s">
        <v>308</v>
      </c>
      <c r="C4" s="8" t="s">
        <v>309</v>
      </c>
      <c r="D4" s="8" t="s">
        <v>310</v>
      </c>
      <c r="E4" s="8" t="s">
        <v>311</v>
      </c>
    </row>
    <row r="5" customFormat="false" ht="15" hidden="false" customHeight="false" outlineLevel="0" collapsed="false">
      <c r="A5" s="8" t="s">
        <v>312</v>
      </c>
      <c r="B5" s="8" t="s">
        <v>313</v>
      </c>
      <c r="C5" s="8" t="s">
        <v>314</v>
      </c>
      <c r="D5" s="8" t="s">
        <v>315</v>
      </c>
      <c r="E5" s="8" t="s">
        <v>316</v>
      </c>
    </row>
    <row r="6" customFormat="false" ht="15" hidden="false" customHeight="false" outlineLevel="0" collapsed="false">
      <c r="A6" s="8" t="s">
        <v>317</v>
      </c>
      <c r="B6" s="8" t="s">
        <v>318</v>
      </c>
      <c r="C6" s="8" t="s">
        <v>19</v>
      </c>
      <c r="D6" s="8" t="s">
        <v>319</v>
      </c>
      <c r="E6" s="8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9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7" t="s">
        <v>321</v>
      </c>
      <c r="B1" s="7" t="s">
        <v>322</v>
      </c>
      <c r="C1" s="7" t="s">
        <v>323</v>
      </c>
      <c r="D1" s="7" t="s">
        <v>324</v>
      </c>
      <c r="E1" s="7" t="s">
        <v>325</v>
      </c>
      <c r="F1" s="7" t="s">
        <v>326</v>
      </c>
      <c r="G1" s="7" t="s">
        <v>327</v>
      </c>
      <c r="H1" s="7" t="s">
        <v>45</v>
      </c>
      <c r="I1" s="7" t="s">
        <v>328</v>
      </c>
    </row>
    <row r="2" customFormat="false" ht="23.85" hidden="false" customHeight="false" outlineLevel="0" collapsed="false">
      <c r="A2" s="8" t="s">
        <v>329</v>
      </c>
      <c r="B2" s="8" t="s">
        <v>330</v>
      </c>
      <c r="C2" s="8" t="s">
        <v>331</v>
      </c>
      <c r="D2" s="8" t="s">
        <v>332</v>
      </c>
      <c r="E2" s="8" t="s">
        <v>333</v>
      </c>
      <c r="F2" s="8" t="s">
        <v>334</v>
      </c>
      <c r="G2" s="8" t="s">
        <v>335</v>
      </c>
      <c r="H2" s="8" t="s">
        <v>336</v>
      </c>
      <c r="I2" s="8" t="s">
        <v>97</v>
      </c>
    </row>
    <row r="3" customFormat="false" ht="15" hidden="false" customHeight="false" outlineLevel="0" collapsed="false">
      <c r="A3" s="8" t="s">
        <v>337</v>
      </c>
      <c r="B3" s="8" t="s">
        <v>330</v>
      </c>
      <c r="C3" s="8" t="s">
        <v>331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336</v>
      </c>
      <c r="I3" s="8" t="s">
        <v>97</v>
      </c>
    </row>
    <row r="4" customFormat="false" ht="15" hidden="false" customHeight="false" outlineLevel="0" collapsed="false">
      <c r="A4" s="8" t="s">
        <v>342</v>
      </c>
      <c r="B4" s="8" t="s">
        <v>330</v>
      </c>
      <c r="C4" s="8" t="s">
        <v>331</v>
      </c>
      <c r="D4" s="8" t="s">
        <v>343</v>
      </c>
      <c r="E4" s="8" t="s">
        <v>344</v>
      </c>
      <c r="F4" s="8" t="s">
        <v>345</v>
      </c>
      <c r="G4" s="8" t="s">
        <v>346</v>
      </c>
      <c r="H4" s="8" t="s">
        <v>336</v>
      </c>
      <c r="I4" s="8" t="s">
        <v>97</v>
      </c>
    </row>
    <row r="5" customFormat="false" ht="15" hidden="false" customHeight="false" outlineLevel="0" collapsed="false">
      <c r="A5" s="8" t="s">
        <v>347</v>
      </c>
      <c r="B5" s="8" t="s">
        <v>330</v>
      </c>
      <c r="C5" s="8" t="s">
        <v>331</v>
      </c>
      <c r="D5" s="8" t="s">
        <v>348</v>
      </c>
      <c r="E5" s="8" t="s">
        <v>349</v>
      </c>
      <c r="F5" s="8" t="s">
        <v>350</v>
      </c>
      <c r="G5" s="8" t="s">
        <v>351</v>
      </c>
      <c r="H5" s="8" t="s">
        <v>336</v>
      </c>
      <c r="I5" s="8" t="s">
        <v>97</v>
      </c>
    </row>
    <row r="6" customFormat="false" ht="15" hidden="false" customHeight="false" outlineLevel="0" collapsed="false">
      <c r="A6" s="8" t="s">
        <v>352</v>
      </c>
      <c r="B6" s="8" t="s">
        <v>330</v>
      </c>
      <c r="C6" s="8" t="s">
        <v>353</v>
      </c>
      <c r="D6" s="8" t="s">
        <v>354</v>
      </c>
      <c r="E6" s="8" t="s">
        <v>355</v>
      </c>
      <c r="F6" s="8" t="s">
        <v>356</v>
      </c>
      <c r="G6" s="8" t="s">
        <v>357</v>
      </c>
      <c r="H6" s="8" t="s">
        <v>336</v>
      </c>
      <c r="I6" s="8" t="s">
        <v>111</v>
      </c>
    </row>
    <row r="7" customFormat="false" ht="15" hidden="false" customHeight="false" outlineLevel="0" collapsed="false">
      <c r="A7" s="8" t="s">
        <v>358</v>
      </c>
      <c r="B7" s="8" t="s">
        <v>330</v>
      </c>
      <c r="C7" s="8" t="s">
        <v>353</v>
      </c>
      <c r="D7" s="8" t="s">
        <v>359</v>
      </c>
      <c r="E7" s="8" t="s">
        <v>360</v>
      </c>
      <c r="F7" s="8" t="s">
        <v>361</v>
      </c>
      <c r="G7" s="8" t="s">
        <v>362</v>
      </c>
      <c r="H7" s="8" t="s">
        <v>363</v>
      </c>
      <c r="I7" s="8" t="s">
        <v>111</v>
      </c>
    </row>
    <row r="8" customFormat="false" ht="15" hidden="false" customHeight="false" outlineLevel="0" collapsed="false">
      <c r="A8" s="8" t="s">
        <v>364</v>
      </c>
      <c r="B8" s="8" t="s">
        <v>330</v>
      </c>
      <c r="C8" s="8" t="s">
        <v>353</v>
      </c>
      <c r="D8" s="8" t="s">
        <v>365</v>
      </c>
      <c r="E8" s="8" t="s">
        <v>366</v>
      </c>
      <c r="F8" s="8" t="s">
        <v>367</v>
      </c>
      <c r="G8" s="8" t="s">
        <v>368</v>
      </c>
      <c r="H8" s="8" t="s">
        <v>336</v>
      </c>
      <c r="I8" s="8" t="s">
        <v>111</v>
      </c>
    </row>
    <row r="9" customFormat="false" ht="15" hidden="false" customHeight="false" outlineLevel="0" collapsed="false">
      <c r="A9" s="8" t="s">
        <v>369</v>
      </c>
      <c r="B9" s="8" t="s">
        <v>330</v>
      </c>
      <c r="C9" s="8" t="s">
        <v>370</v>
      </c>
      <c r="D9" s="8" t="s">
        <v>371</v>
      </c>
      <c r="E9" s="8" t="s">
        <v>372</v>
      </c>
      <c r="F9" s="8" t="s">
        <v>373</v>
      </c>
      <c r="G9" s="8" t="s">
        <v>374</v>
      </c>
      <c r="H9" s="8" t="s">
        <v>336</v>
      </c>
      <c r="I9" s="8" t="s">
        <v>117</v>
      </c>
    </row>
    <row r="10" customFormat="false" ht="15" hidden="false" customHeight="false" outlineLevel="0" collapsed="false">
      <c r="A10" s="8" t="s">
        <v>375</v>
      </c>
      <c r="B10" s="8" t="s">
        <v>330</v>
      </c>
      <c r="C10" s="8" t="s">
        <v>376</v>
      </c>
      <c r="D10" s="8" t="s">
        <v>377</v>
      </c>
      <c r="E10" s="8" t="s">
        <v>378</v>
      </c>
      <c r="F10" s="8" t="s">
        <v>379</v>
      </c>
      <c r="G10" s="8" t="s">
        <v>380</v>
      </c>
      <c r="H10" s="8" t="s">
        <v>336</v>
      </c>
      <c r="I10" s="8" t="s">
        <v>117</v>
      </c>
    </row>
    <row r="11" customFormat="false" ht="23.85" hidden="false" customHeight="false" outlineLevel="0" collapsed="false">
      <c r="A11" s="8" t="s">
        <v>381</v>
      </c>
      <c r="B11" s="8" t="s">
        <v>330</v>
      </c>
      <c r="C11" s="8" t="s">
        <v>382</v>
      </c>
      <c r="D11" s="8" t="s">
        <v>383</v>
      </c>
      <c r="E11" s="8" t="s">
        <v>384</v>
      </c>
      <c r="F11" s="8" t="s">
        <v>385</v>
      </c>
      <c r="G11" s="8" t="s">
        <v>386</v>
      </c>
      <c r="H11" s="8" t="s">
        <v>336</v>
      </c>
      <c r="I11" s="8" t="s">
        <v>387</v>
      </c>
    </row>
    <row r="12" customFormat="false" ht="15" hidden="false" customHeight="false" outlineLevel="0" collapsed="false">
      <c r="A12" s="8" t="s">
        <v>388</v>
      </c>
      <c r="B12" s="8" t="s">
        <v>330</v>
      </c>
      <c r="C12" s="8" t="s">
        <v>389</v>
      </c>
      <c r="D12" s="8" t="s">
        <v>390</v>
      </c>
      <c r="E12" s="8" t="s">
        <v>391</v>
      </c>
      <c r="F12" s="8" t="s">
        <v>392</v>
      </c>
      <c r="G12" s="8" t="s">
        <v>393</v>
      </c>
      <c r="H12" s="8" t="s">
        <v>336</v>
      </c>
      <c r="I12" s="8" t="s">
        <v>159</v>
      </c>
    </row>
    <row r="13" customFormat="false" ht="15" hidden="false" customHeight="false" outlineLevel="0" collapsed="false">
      <c r="A13" s="8" t="s">
        <v>394</v>
      </c>
      <c r="B13" s="8" t="s">
        <v>330</v>
      </c>
      <c r="C13" s="8" t="s">
        <v>389</v>
      </c>
      <c r="D13" s="8" t="s">
        <v>395</v>
      </c>
      <c r="E13" s="8" t="s">
        <v>396</v>
      </c>
      <c r="F13" s="8" t="s">
        <v>392</v>
      </c>
      <c r="G13" s="8" t="s">
        <v>397</v>
      </c>
      <c r="H13" s="8" t="s">
        <v>336</v>
      </c>
      <c r="I13" s="8" t="s">
        <v>159</v>
      </c>
    </row>
    <row r="14" customFormat="false" ht="15" hidden="false" customHeight="false" outlineLevel="0" collapsed="false">
      <c r="A14" s="8" t="s">
        <v>398</v>
      </c>
      <c r="B14" s="8" t="s">
        <v>330</v>
      </c>
      <c r="C14" s="8" t="s">
        <v>399</v>
      </c>
      <c r="D14" s="8" t="s">
        <v>400</v>
      </c>
      <c r="E14" s="8" t="s">
        <v>401</v>
      </c>
      <c r="F14" s="8" t="s">
        <v>402</v>
      </c>
      <c r="G14" s="8" t="s">
        <v>403</v>
      </c>
      <c r="H14" s="8" t="s">
        <v>336</v>
      </c>
      <c r="I14" s="8" t="s">
        <v>164</v>
      </c>
    </row>
    <row r="15" customFormat="false" ht="15" hidden="false" customHeight="false" outlineLevel="0" collapsed="false">
      <c r="A15" s="8" t="s">
        <v>404</v>
      </c>
      <c r="B15" s="8" t="s">
        <v>330</v>
      </c>
      <c r="C15" s="8" t="s">
        <v>389</v>
      </c>
      <c r="D15" s="8" t="s">
        <v>405</v>
      </c>
      <c r="E15" s="8" t="s">
        <v>406</v>
      </c>
      <c r="F15" s="8" t="s">
        <v>392</v>
      </c>
      <c r="G15" s="8" t="s">
        <v>407</v>
      </c>
      <c r="H15" s="8" t="s">
        <v>363</v>
      </c>
      <c r="I15" s="8" t="s">
        <v>153</v>
      </c>
    </row>
    <row r="16" customFormat="false" ht="15" hidden="false" customHeight="false" outlineLevel="0" collapsed="false">
      <c r="A16" s="8" t="s">
        <v>408</v>
      </c>
      <c r="B16" s="8" t="s">
        <v>330</v>
      </c>
      <c r="C16" s="8" t="s">
        <v>409</v>
      </c>
      <c r="D16" s="8" t="s">
        <v>410</v>
      </c>
      <c r="E16" s="8" t="s">
        <v>411</v>
      </c>
      <c r="F16" s="8" t="s">
        <v>412</v>
      </c>
      <c r="G16" s="8" t="s">
        <v>413</v>
      </c>
      <c r="H16" s="8" t="s">
        <v>336</v>
      </c>
      <c r="I16" s="8" t="s">
        <v>169</v>
      </c>
    </row>
    <row r="17" customFormat="false" ht="15" hidden="false" customHeight="false" outlineLevel="0" collapsed="false">
      <c r="A17" s="8" t="s">
        <v>414</v>
      </c>
      <c r="B17" s="8" t="s">
        <v>415</v>
      </c>
      <c r="C17" s="8" t="s">
        <v>416</v>
      </c>
      <c r="D17" s="8" t="s">
        <v>417</v>
      </c>
      <c r="E17" s="8" t="s">
        <v>418</v>
      </c>
      <c r="F17" s="8" t="s">
        <v>419</v>
      </c>
      <c r="G17" s="8" t="s">
        <v>420</v>
      </c>
      <c r="H17" s="8" t="s">
        <v>336</v>
      </c>
      <c r="I17" s="8" t="s">
        <v>255</v>
      </c>
    </row>
    <row r="18" customFormat="false" ht="15" hidden="false" customHeight="false" outlineLevel="0" collapsed="false">
      <c r="A18" s="8" t="s">
        <v>421</v>
      </c>
      <c r="B18" s="8" t="s">
        <v>330</v>
      </c>
      <c r="C18" s="8" t="s">
        <v>422</v>
      </c>
      <c r="D18" s="8" t="s">
        <v>423</v>
      </c>
      <c r="E18" s="8" t="s">
        <v>424</v>
      </c>
      <c r="F18" s="8" t="s">
        <v>425</v>
      </c>
      <c r="G18" s="8" t="s">
        <v>426</v>
      </c>
      <c r="H18" s="8" t="s">
        <v>336</v>
      </c>
      <c r="I18" s="8" t="s">
        <v>177</v>
      </c>
    </row>
    <row r="19" customFormat="false" ht="15" hidden="false" customHeight="false" outlineLevel="0" collapsed="false">
      <c r="A19" s="8" t="s">
        <v>427</v>
      </c>
      <c r="B19" s="8" t="s">
        <v>330</v>
      </c>
      <c r="C19" s="8" t="s">
        <v>422</v>
      </c>
      <c r="D19" s="8" t="s">
        <v>428</v>
      </c>
      <c r="E19" s="8" t="s">
        <v>429</v>
      </c>
      <c r="F19" s="8" t="s">
        <v>430</v>
      </c>
      <c r="G19" s="8" t="s">
        <v>431</v>
      </c>
      <c r="H19" s="8" t="s">
        <v>363</v>
      </c>
      <c r="I19" s="8" t="s">
        <v>177</v>
      </c>
    </row>
    <row r="20" customFormat="false" ht="15" hidden="false" customHeight="false" outlineLevel="0" collapsed="false">
      <c r="A20" s="8" t="s">
        <v>432</v>
      </c>
      <c r="B20" s="8" t="s">
        <v>330</v>
      </c>
      <c r="C20" s="8" t="s">
        <v>422</v>
      </c>
      <c r="D20" s="8" t="s">
        <v>433</v>
      </c>
      <c r="E20" s="8" t="s">
        <v>434</v>
      </c>
      <c r="F20" s="8" t="s">
        <v>435</v>
      </c>
      <c r="G20" s="8" t="s">
        <v>436</v>
      </c>
      <c r="H20" s="8" t="s">
        <v>336</v>
      </c>
      <c r="I20" s="8" t="s">
        <v>173</v>
      </c>
    </row>
    <row r="21" customFormat="false" ht="15" hidden="false" customHeight="false" outlineLevel="0" collapsed="false">
      <c r="A21" s="8" t="s">
        <v>437</v>
      </c>
      <c r="B21" s="8" t="s">
        <v>438</v>
      </c>
      <c r="C21" s="8" t="s">
        <v>439</v>
      </c>
      <c r="D21" s="8" t="s">
        <v>440</v>
      </c>
      <c r="E21" s="8" t="s">
        <v>441</v>
      </c>
      <c r="F21" s="8" t="s">
        <v>442</v>
      </c>
      <c r="G21" s="8" t="s">
        <v>443</v>
      </c>
      <c r="H21" s="8" t="s">
        <v>363</v>
      </c>
      <c r="I21" s="8" t="s">
        <v>192</v>
      </c>
    </row>
    <row r="22" customFormat="false" ht="15" hidden="false" customHeight="false" outlineLevel="0" collapsed="false">
      <c r="A22" s="8" t="s">
        <v>444</v>
      </c>
      <c r="B22" s="8" t="s">
        <v>330</v>
      </c>
      <c r="C22" s="8" t="s">
        <v>445</v>
      </c>
      <c r="D22" s="8" t="s">
        <v>446</v>
      </c>
      <c r="E22" s="8" t="s">
        <v>447</v>
      </c>
      <c r="F22" s="8" t="s">
        <v>448</v>
      </c>
      <c r="G22" s="8" t="s">
        <v>449</v>
      </c>
      <c r="H22" s="8" t="s">
        <v>336</v>
      </c>
      <c r="I22" s="8" t="s">
        <v>219</v>
      </c>
    </row>
    <row r="23" customFormat="false" ht="15" hidden="false" customHeight="false" outlineLevel="0" collapsed="false">
      <c r="A23" s="8" t="s">
        <v>450</v>
      </c>
      <c r="B23" s="8" t="s">
        <v>330</v>
      </c>
      <c r="C23" s="8" t="s">
        <v>445</v>
      </c>
      <c r="D23" s="8" t="s">
        <v>451</v>
      </c>
      <c r="E23" s="8" t="s">
        <v>452</v>
      </c>
      <c r="F23" s="8" t="s">
        <v>453</v>
      </c>
      <c r="G23" s="8" t="s">
        <v>454</v>
      </c>
      <c r="H23" s="8" t="s">
        <v>336</v>
      </c>
      <c r="I23" s="8" t="s">
        <v>219</v>
      </c>
    </row>
    <row r="24" customFormat="false" ht="15" hidden="false" customHeight="false" outlineLevel="0" collapsed="false">
      <c r="A24" s="8" t="s">
        <v>455</v>
      </c>
      <c r="B24" s="8" t="s">
        <v>330</v>
      </c>
      <c r="C24" s="8" t="s">
        <v>445</v>
      </c>
      <c r="D24" s="8" t="s">
        <v>456</v>
      </c>
      <c r="E24" s="8" t="s">
        <v>457</v>
      </c>
      <c r="F24" s="8" t="s">
        <v>453</v>
      </c>
      <c r="G24" s="8" t="s">
        <v>458</v>
      </c>
      <c r="H24" s="8" t="s">
        <v>336</v>
      </c>
      <c r="I24" s="8" t="s">
        <v>219</v>
      </c>
    </row>
    <row r="25" customFormat="false" ht="15" hidden="false" customHeight="false" outlineLevel="0" collapsed="false">
      <c r="A25" s="8" t="s">
        <v>459</v>
      </c>
      <c r="B25" s="8" t="s">
        <v>330</v>
      </c>
      <c r="C25" s="8" t="s">
        <v>460</v>
      </c>
      <c r="D25" s="8" t="s">
        <v>461</v>
      </c>
      <c r="E25" s="8" t="s">
        <v>462</v>
      </c>
      <c r="F25" s="8" t="s">
        <v>463</v>
      </c>
      <c r="G25" s="8" t="s">
        <v>464</v>
      </c>
      <c r="H25" s="8" t="s">
        <v>336</v>
      </c>
      <c r="I25" s="8" t="s">
        <v>209</v>
      </c>
    </row>
    <row r="26" customFormat="false" ht="15" hidden="false" customHeight="false" outlineLevel="0" collapsed="false">
      <c r="A26" s="8" t="s">
        <v>465</v>
      </c>
      <c r="B26" s="8" t="s">
        <v>415</v>
      </c>
      <c r="C26" s="8" t="s">
        <v>466</v>
      </c>
      <c r="D26" s="8" t="s">
        <v>467</v>
      </c>
      <c r="E26" s="8" t="s">
        <v>468</v>
      </c>
      <c r="F26" s="8" t="s">
        <v>469</v>
      </c>
      <c r="G26" s="8" t="s">
        <v>470</v>
      </c>
      <c r="H26" s="8" t="s">
        <v>336</v>
      </c>
      <c r="I26" s="8" t="s">
        <v>255</v>
      </c>
    </row>
    <row r="27" customFormat="false" ht="15" hidden="false" customHeight="false" outlineLevel="0" collapsed="false">
      <c r="A27" s="8" t="s">
        <v>471</v>
      </c>
      <c r="B27" s="8" t="s">
        <v>330</v>
      </c>
      <c r="C27" s="8" t="s">
        <v>472</v>
      </c>
      <c r="D27" s="8" t="s">
        <v>473</v>
      </c>
      <c r="E27" s="8" t="s">
        <v>474</v>
      </c>
      <c r="F27" s="8" t="s">
        <v>475</v>
      </c>
      <c r="G27" s="8" t="s">
        <v>476</v>
      </c>
      <c r="H27" s="8" t="s">
        <v>336</v>
      </c>
      <c r="I27" s="8" t="s">
        <v>225</v>
      </c>
    </row>
    <row r="28" customFormat="false" ht="15" hidden="false" customHeight="false" outlineLevel="0" collapsed="false">
      <c r="A28" s="8" t="s">
        <v>477</v>
      </c>
      <c r="B28" s="8" t="s">
        <v>330</v>
      </c>
      <c r="C28" s="8" t="s">
        <v>478</v>
      </c>
      <c r="D28" s="8" t="s">
        <v>479</v>
      </c>
      <c r="E28" s="8" t="s">
        <v>480</v>
      </c>
      <c r="F28" s="8" t="s">
        <v>481</v>
      </c>
      <c r="G28" s="8" t="s">
        <v>482</v>
      </c>
      <c r="H28" s="8" t="s">
        <v>363</v>
      </c>
      <c r="I28" s="8" t="s">
        <v>164</v>
      </c>
    </row>
    <row r="29" customFormat="false" ht="15" hidden="false" customHeight="false" outlineLevel="0" collapsed="false">
      <c r="A29" s="8" t="s">
        <v>483</v>
      </c>
      <c r="B29" s="8" t="s">
        <v>438</v>
      </c>
      <c r="C29" s="8" t="s">
        <v>484</v>
      </c>
      <c r="D29" s="8" t="s">
        <v>485</v>
      </c>
      <c r="E29" s="8" t="s">
        <v>486</v>
      </c>
      <c r="F29" s="8" t="s">
        <v>487</v>
      </c>
      <c r="G29" s="8" t="s">
        <v>488</v>
      </c>
      <c r="H29" s="8" t="s">
        <v>336</v>
      </c>
      <c r="I29" s="8" t="s">
        <v>140</v>
      </c>
    </row>
    <row r="30" customFormat="false" ht="15" hidden="false" customHeight="false" outlineLevel="0" collapsed="false">
      <c r="A30" s="8" t="s">
        <v>489</v>
      </c>
      <c r="B30" s="8" t="s">
        <v>438</v>
      </c>
      <c r="C30" s="8" t="s">
        <v>490</v>
      </c>
      <c r="D30" s="8" t="s">
        <v>491</v>
      </c>
      <c r="E30" s="8" t="s">
        <v>492</v>
      </c>
      <c r="F30" s="8" t="s">
        <v>493</v>
      </c>
      <c r="G30" s="8" t="s">
        <v>494</v>
      </c>
      <c r="H30" s="8" t="s">
        <v>336</v>
      </c>
      <c r="I30" s="8" t="s">
        <v>239</v>
      </c>
    </row>
    <row r="31" customFormat="false" ht="15" hidden="false" customHeight="false" outlineLevel="0" collapsed="false">
      <c r="A31" s="8" t="s">
        <v>495</v>
      </c>
      <c r="B31" s="8" t="s">
        <v>438</v>
      </c>
      <c r="C31" s="8" t="s">
        <v>496</v>
      </c>
      <c r="D31" s="8" t="s">
        <v>497</v>
      </c>
      <c r="E31" s="8" t="s">
        <v>498</v>
      </c>
      <c r="F31" s="8" t="s">
        <v>499</v>
      </c>
      <c r="G31" s="8" t="s">
        <v>500</v>
      </c>
      <c r="H31" s="8" t="s">
        <v>336</v>
      </c>
      <c r="I31" s="8" t="s">
        <v>239</v>
      </c>
    </row>
    <row r="32" customFormat="false" ht="15" hidden="false" customHeight="false" outlineLevel="0" collapsed="false">
      <c r="A32" s="8" t="s">
        <v>501</v>
      </c>
      <c r="B32" s="8" t="s">
        <v>438</v>
      </c>
      <c r="C32" s="8" t="s">
        <v>502</v>
      </c>
      <c r="D32" s="8" t="s">
        <v>503</v>
      </c>
      <c r="E32" s="8" t="s">
        <v>504</v>
      </c>
      <c r="F32" s="8" t="s">
        <v>505</v>
      </c>
      <c r="G32" s="8" t="s">
        <v>506</v>
      </c>
      <c r="H32" s="8" t="s">
        <v>363</v>
      </c>
      <c r="I32" s="8" t="s">
        <v>243</v>
      </c>
    </row>
    <row r="33" customFormat="false" ht="23.85" hidden="false" customHeight="false" outlineLevel="0" collapsed="false">
      <c r="A33" s="8" t="s">
        <v>507</v>
      </c>
      <c r="B33" s="8" t="s">
        <v>508</v>
      </c>
      <c r="C33" s="8" t="s">
        <v>509</v>
      </c>
      <c r="D33" s="8" t="s">
        <v>510</v>
      </c>
      <c r="E33" s="8" t="s">
        <v>511</v>
      </c>
      <c r="F33" s="8" t="s">
        <v>512</v>
      </c>
      <c r="G33" s="8" t="s">
        <v>513</v>
      </c>
      <c r="H33" s="8" t="s">
        <v>336</v>
      </c>
      <c r="I33" s="8" t="s">
        <v>269</v>
      </c>
    </row>
    <row r="34" customFormat="false" ht="15" hidden="false" customHeight="false" outlineLevel="0" collapsed="false">
      <c r="A34" s="8" t="s">
        <v>514</v>
      </c>
      <c r="B34" s="8" t="s">
        <v>508</v>
      </c>
      <c r="C34" s="8" t="s">
        <v>515</v>
      </c>
      <c r="D34" s="8" t="s">
        <v>516</v>
      </c>
      <c r="E34" s="8" t="s">
        <v>517</v>
      </c>
      <c r="F34" s="8" t="s">
        <v>518</v>
      </c>
      <c r="G34" s="8" t="s">
        <v>519</v>
      </c>
      <c r="H34" s="8" t="s">
        <v>336</v>
      </c>
      <c r="I34" s="8" t="s">
        <v>269</v>
      </c>
    </row>
    <row r="35" customFormat="false" ht="15" hidden="false" customHeight="false" outlineLevel="0" collapsed="false">
      <c r="A35" s="8" t="s">
        <v>520</v>
      </c>
      <c r="B35" s="8" t="s">
        <v>508</v>
      </c>
      <c r="C35" s="8" t="s">
        <v>521</v>
      </c>
      <c r="D35" s="8" t="s">
        <v>522</v>
      </c>
      <c r="E35" s="8" t="s">
        <v>517</v>
      </c>
      <c r="F35" s="8" t="s">
        <v>523</v>
      </c>
      <c r="G35" s="8" t="s">
        <v>524</v>
      </c>
      <c r="H35" s="8" t="s">
        <v>336</v>
      </c>
      <c r="I35" s="8" t="s">
        <v>269</v>
      </c>
    </row>
    <row r="36" customFormat="false" ht="15" hidden="false" customHeight="false" outlineLevel="0" collapsed="false">
      <c r="A36" s="8" t="s">
        <v>525</v>
      </c>
      <c r="B36" s="8" t="s">
        <v>508</v>
      </c>
      <c r="C36" s="8" t="s">
        <v>526</v>
      </c>
      <c r="D36" s="8" t="s">
        <v>527</v>
      </c>
      <c r="E36" s="8" t="s">
        <v>498</v>
      </c>
      <c r="F36" s="8" t="s">
        <v>528</v>
      </c>
      <c r="G36" s="8" t="s">
        <v>529</v>
      </c>
      <c r="H36" s="8" t="s">
        <v>336</v>
      </c>
      <c r="I36" s="8" t="s">
        <v>269</v>
      </c>
    </row>
    <row r="37" customFormat="false" ht="15" hidden="false" customHeight="false" outlineLevel="0" collapsed="false">
      <c r="A37" s="8" t="s">
        <v>530</v>
      </c>
      <c r="B37" s="8" t="s">
        <v>531</v>
      </c>
      <c r="C37" s="8" t="s">
        <v>532</v>
      </c>
      <c r="D37" s="8" t="s">
        <v>533</v>
      </c>
      <c r="E37" s="8" t="s">
        <v>534</v>
      </c>
      <c r="F37" s="8" t="s">
        <v>535</v>
      </c>
      <c r="G37" s="8" t="s">
        <v>536</v>
      </c>
      <c r="H37" s="8" t="s">
        <v>336</v>
      </c>
      <c r="I37" s="8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7" t="s">
        <v>537</v>
      </c>
      <c r="B1" s="7" t="s">
        <v>538</v>
      </c>
      <c r="C1" s="7" t="s">
        <v>539</v>
      </c>
      <c r="D1" s="7" t="s">
        <v>540</v>
      </c>
      <c r="E1" s="7" t="s">
        <v>541</v>
      </c>
      <c r="F1" s="7" t="s">
        <v>542</v>
      </c>
    </row>
    <row r="2" customFormat="false" ht="15" hidden="false" customHeight="false" outlineLevel="0" collapsed="false">
      <c r="A2" s="8" t="s">
        <v>543</v>
      </c>
      <c r="B2" s="8" t="s">
        <v>544</v>
      </c>
      <c r="C2" s="8" t="s">
        <v>545</v>
      </c>
      <c r="D2" s="8" t="s">
        <v>546</v>
      </c>
      <c r="E2" s="8" t="s">
        <v>547</v>
      </c>
      <c r="F2" s="8" t="s">
        <v>331</v>
      </c>
    </row>
    <row r="3" customFormat="false" ht="15" hidden="false" customHeight="false" outlineLevel="0" collapsed="false">
      <c r="A3" s="8" t="s">
        <v>543</v>
      </c>
      <c r="B3" s="8" t="s">
        <v>548</v>
      </c>
      <c r="C3" s="8" t="s">
        <v>545</v>
      </c>
      <c r="D3" s="8" t="s">
        <v>549</v>
      </c>
      <c r="E3" s="8" t="s">
        <v>547</v>
      </c>
      <c r="F3" s="8" t="s">
        <v>331</v>
      </c>
    </row>
    <row r="4" customFormat="false" ht="15" hidden="false" customHeight="false" outlineLevel="0" collapsed="false">
      <c r="A4" s="8" t="s">
        <v>543</v>
      </c>
      <c r="B4" s="8" t="s">
        <v>550</v>
      </c>
      <c r="C4" s="8" t="s">
        <v>545</v>
      </c>
      <c r="D4" s="8" t="s">
        <v>551</v>
      </c>
      <c r="E4" s="8" t="s">
        <v>547</v>
      </c>
      <c r="F4" s="8" t="s">
        <v>331</v>
      </c>
    </row>
    <row r="5" customFormat="false" ht="15" hidden="false" customHeight="false" outlineLevel="0" collapsed="false">
      <c r="A5" s="8" t="s">
        <v>543</v>
      </c>
      <c r="B5" s="8" t="s">
        <v>552</v>
      </c>
      <c r="C5" s="8" t="s">
        <v>553</v>
      </c>
      <c r="D5" s="8" t="s">
        <v>554</v>
      </c>
      <c r="E5" s="8" t="s">
        <v>547</v>
      </c>
      <c r="F5" s="8" t="s">
        <v>331</v>
      </c>
    </row>
    <row r="6" customFormat="false" ht="15" hidden="false" customHeight="false" outlineLevel="0" collapsed="false">
      <c r="A6" s="8" t="s">
        <v>555</v>
      </c>
      <c r="B6" s="8" t="s">
        <v>556</v>
      </c>
      <c r="C6" s="8" t="s">
        <v>557</v>
      </c>
      <c r="D6" s="8" t="s">
        <v>558</v>
      </c>
      <c r="E6" s="8" t="s">
        <v>547</v>
      </c>
      <c r="F6" s="8" t="s">
        <v>559</v>
      </c>
    </row>
    <row r="7" customFormat="false" ht="15" hidden="false" customHeight="false" outlineLevel="0" collapsed="false">
      <c r="A7" s="8" t="s">
        <v>560</v>
      </c>
      <c r="B7" s="8" t="s">
        <v>556</v>
      </c>
      <c r="C7" s="8" t="s">
        <v>557</v>
      </c>
      <c r="D7" s="8" t="s">
        <v>561</v>
      </c>
      <c r="E7" s="8" t="s">
        <v>547</v>
      </c>
      <c r="F7" s="8" t="s">
        <v>559</v>
      </c>
    </row>
    <row r="8" customFormat="false" ht="15" hidden="false" customHeight="false" outlineLevel="0" collapsed="false">
      <c r="A8" s="8" t="s">
        <v>555</v>
      </c>
      <c r="B8" s="8" t="s">
        <v>562</v>
      </c>
      <c r="C8" s="8" t="s">
        <v>557</v>
      </c>
      <c r="D8" s="8" t="s">
        <v>563</v>
      </c>
      <c r="E8" s="8" t="s">
        <v>564</v>
      </c>
      <c r="F8" s="8" t="s">
        <v>353</v>
      </c>
    </row>
    <row r="9" customFormat="false" ht="15" hidden="false" customHeight="false" outlineLevel="0" collapsed="false">
      <c r="A9" s="8" t="s">
        <v>555</v>
      </c>
      <c r="B9" s="8" t="s">
        <v>565</v>
      </c>
      <c r="C9" s="8" t="s">
        <v>557</v>
      </c>
      <c r="D9" s="8" t="s">
        <v>566</v>
      </c>
      <c r="E9" s="8" t="s">
        <v>564</v>
      </c>
      <c r="F9" s="8" t="s">
        <v>353</v>
      </c>
    </row>
    <row r="10" customFormat="false" ht="15" hidden="false" customHeight="false" outlineLevel="0" collapsed="false">
      <c r="A10" s="8" t="s">
        <v>543</v>
      </c>
      <c r="B10" s="8" t="s">
        <v>567</v>
      </c>
      <c r="C10" s="8" t="s">
        <v>557</v>
      </c>
      <c r="D10" s="8" t="s">
        <v>568</v>
      </c>
      <c r="E10" s="8" t="s">
        <v>569</v>
      </c>
      <c r="F10" s="8" t="s">
        <v>370</v>
      </c>
    </row>
    <row r="11" customFormat="false" ht="15" hidden="false" customHeight="false" outlineLevel="0" collapsed="false">
      <c r="A11" s="8" t="s">
        <v>543</v>
      </c>
      <c r="B11" s="8" t="s">
        <v>570</v>
      </c>
      <c r="C11" s="8" t="s">
        <v>557</v>
      </c>
      <c r="D11" s="8" t="s">
        <v>571</v>
      </c>
      <c r="E11" s="8" t="s">
        <v>569</v>
      </c>
      <c r="F11" s="8" t="s">
        <v>376</v>
      </c>
    </row>
    <row r="12" customFormat="false" ht="15" hidden="false" customHeight="false" outlineLevel="0" collapsed="false">
      <c r="A12" s="8" t="s">
        <v>543</v>
      </c>
      <c r="B12" s="8" t="s">
        <v>572</v>
      </c>
      <c r="C12" s="8" t="s">
        <v>557</v>
      </c>
      <c r="D12" s="8" t="s">
        <v>573</v>
      </c>
      <c r="E12" s="8" t="s">
        <v>569</v>
      </c>
      <c r="F12" s="8" t="s">
        <v>382</v>
      </c>
    </row>
    <row r="13" customFormat="false" ht="15" hidden="false" customHeight="false" outlineLevel="0" collapsed="false">
      <c r="A13" s="8" t="s">
        <v>574</v>
      </c>
      <c r="B13" s="8" t="s">
        <v>575</v>
      </c>
      <c r="C13" s="8" t="s">
        <v>557</v>
      </c>
      <c r="D13" s="8" t="s">
        <v>576</v>
      </c>
      <c r="E13" s="8" t="s">
        <v>569</v>
      </c>
      <c r="F13" s="8" t="s">
        <v>382</v>
      </c>
    </row>
    <row r="14" customFormat="false" ht="15" hidden="false" customHeight="false" outlineLevel="0" collapsed="false">
      <c r="A14" s="8" t="s">
        <v>555</v>
      </c>
      <c r="B14" s="8" t="s">
        <v>577</v>
      </c>
      <c r="C14" s="8" t="s">
        <v>557</v>
      </c>
      <c r="D14" s="8" t="s">
        <v>578</v>
      </c>
      <c r="E14" s="8" t="s">
        <v>579</v>
      </c>
      <c r="F14" s="8" t="s">
        <v>389</v>
      </c>
    </row>
    <row r="15" customFormat="false" ht="15" hidden="false" customHeight="false" outlineLevel="0" collapsed="false">
      <c r="A15" s="8" t="s">
        <v>555</v>
      </c>
      <c r="B15" s="8" t="s">
        <v>580</v>
      </c>
      <c r="C15" s="8" t="s">
        <v>557</v>
      </c>
      <c r="D15" s="8" t="s">
        <v>581</v>
      </c>
      <c r="E15" s="8" t="s">
        <v>579</v>
      </c>
      <c r="F15" s="8" t="s">
        <v>389</v>
      </c>
    </row>
    <row r="16" customFormat="false" ht="15" hidden="false" customHeight="false" outlineLevel="0" collapsed="false">
      <c r="A16" s="8" t="s">
        <v>582</v>
      </c>
      <c r="B16" s="8" t="s">
        <v>583</v>
      </c>
      <c r="C16" s="8" t="s">
        <v>557</v>
      </c>
      <c r="D16" s="8" t="s">
        <v>584</v>
      </c>
      <c r="E16" s="8" t="s">
        <v>579</v>
      </c>
      <c r="F16" s="8" t="s">
        <v>389</v>
      </c>
    </row>
    <row r="17" customFormat="false" ht="15" hidden="false" customHeight="false" outlineLevel="0" collapsed="false">
      <c r="A17" s="8" t="s">
        <v>555</v>
      </c>
      <c r="B17" s="8" t="s">
        <v>585</v>
      </c>
      <c r="C17" s="8" t="s">
        <v>557</v>
      </c>
      <c r="D17" s="8" t="s">
        <v>586</v>
      </c>
      <c r="E17" s="8" t="s">
        <v>579</v>
      </c>
      <c r="F17" s="8" t="s">
        <v>409</v>
      </c>
    </row>
    <row r="18" customFormat="false" ht="15" hidden="false" customHeight="false" outlineLevel="0" collapsed="false">
      <c r="A18" s="8" t="s">
        <v>543</v>
      </c>
      <c r="B18" s="8" t="s">
        <v>587</v>
      </c>
      <c r="C18" s="8" t="s">
        <v>557</v>
      </c>
      <c r="D18" s="8" t="s">
        <v>588</v>
      </c>
      <c r="E18" s="8" t="s">
        <v>589</v>
      </c>
      <c r="F18" s="8" t="s">
        <v>590</v>
      </c>
    </row>
    <row r="19" customFormat="false" ht="15" hidden="false" customHeight="false" outlineLevel="0" collapsed="false">
      <c r="A19" s="8" t="s">
        <v>555</v>
      </c>
      <c r="B19" s="8" t="s">
        <v>591</v>
      </c>
      <c r="C19" s="8" t="s">
        <v>557</v>
      </c>
      <c r="D19" s="8" t="s">
        <v>592</v>
      </c>
      <c r="E19" s="8" t="s">
        <v>589</v>
      </c>
      <c r="F19" s="8" t="s">
        <v>422</v>
      </c>
    </row>
    <row r="20" customFormat="false" ht="15" hidden="false" customHeight="false" outlineLevel="0" collapsed="false">
      <c r="A20" s="8" t="s">
        <v>543</v>
      </c>
      <c r="B20" s="8" t="s">
        <v>593</v>
      </c>
      <c r="C20" s="8" t="s">
        <v>557</v>
      </c>
      <c r="D20" s="8" t="s">
        <v>594</v>
      </c>
      <c r="E20" s="8" t="s">
        <v>589</v>
      </c>
      <c r="F20" s="8" t="s">
        <v>422</v>
      </c>
    </row>
    <row r="21" customFormat="false" ht="15" hidden="false" customHeight="false" outlineLevel="0" collapsed="false">
      <c r="A21" s="8" t="s">
        <v>555</v>
      </c>
      <c r="B21" s="8" t="s">
        <v>595</v>
      </c>
      <c r="C21" s="8" t="s">
        <v>557</v>
      </c>
      <c r="D21" s="8" t="s">
        <v>596</v>
      </c>
      <c r="E21" s="8" t="s">
        <v>589</v>
      </c>
      <c r="F21" s="8" t="s">
        <v>597</v>
      </c>
    </row>
    <row r="22" customFormat="false" ht="15" hidden="false" customHeight="false" outlineLevel="0" collapsed="false">
      <c r="A22" s="8" t="s">
        <v>543</v>
      </c>
      <c r="B22" s="8" t="s">
        <v>598</v>
      </c>
      <c r="C22" s="8" t="s">
        <v>557</v>
      </c>
      <c r="D22" s="8" t="s">
        <v>599</v>
      </c>
      <c r="E22" s="8" t="s">
        <v>589</v>
      </c>
      <c r="F22" s="8" t="s">
        <v>439</v>
      </c>
    </row>
    <row r="23" customFormat="false" ht="15" hidden="false" customHeight="false" outlineLevel="0" collapsed="false">
      <c r="A23" s="8" t="s">
        <v>555</v>
      </c>
      <c r="B23" s="8" t="s">
        <v>600</v>
      </c>
      <c r="C23" s="8" t="s">
        <v>557</v>
      </c>
      <c r="D23" s="8" t="s">
        <v>601</v>
      </c>
      <c r="E23" s="8" t="s">
        <v>602</v>
      </c>
      <c r="F23" s="8" t="s">
        <v>445</v>
      </c>
    </row>
    <row r="24" customFormat="false" ht="15" hidden="false" customHeight="false" outlineLevel="0" collapsed="false">
      <c r="A24" s="8" t="s">
        <v>555</v>
      </c>
      <c r="B24" s="8" t="s">
        <v>603</v>
      </c>
      <c r="C24" s="8" t="s">
        <v>557</v>
      </c>
      <c r="D24" s="8" t="s">
        <v>604</v>
      </c>
      <c r="E24" s="8" t="s">
        <v>602</v>
      </c>
      <c r="F24" s="8" t="s">
        <v>445</v>
      </c>
    </row>
    <row r="25" customFormat="false" ht="15" hidden="false" customHeight="false" outlineLevel="0" collapsed="false">
      <c r="A25" s="8" t="s">
        <v>543</v>
      </c>
      <c r="B25" s="8" t="s">
        <v>605</v>
      </c>
      <c r="C25" s="8" t="s">
        <v>557</v>
      </c>
      <c r="D25" s="8" t="s">
        <v>606</v>
      </c>
      <c r="E25" s="8" t="s">
        <v>602</v>
      </c>
      <c r="F25" s="8" t="s">
        <v>607</v>
      </c>
    </row>
    <row r="26" customFormat="false" ht="15" hidden="false" customHeight="false" outlineLevel="0" collapsed="false">
      <c r="A26" s="8" t="s">
        <v>555</v>
      </c>
      <c r="B26" s="8" t="s">
        <v>608</v>
      </c>
      <c r="C26" s="8" t="s">
        <v>557</v>
      </c>
      <c r="D26" s="8" t="s">
        <v>609</v>
      </c>
      <c r="E26" s="8" t="s">
        <v>602</v>
      </c>
      <c r="F26" s="8" t="s">
        <v>472</v>
      </c>
    </row>
    <row r="27" customFormat="false" ht="15" hidden="false" customHeight="false" outlineLevel="0" collapsed="false">
      <c r="A27" s="8" t="s">
        <v>543</v>
      </c>
      <c r="B27" s="8" t="s">
        <v>610</v>
      </c>
      <c r="C27" s="8" t="s">
        <v>557</v>
      </c>
      <c r="D27" s="8" t="s">
        <v>611</v>
      </c>
      <c r="E27" s="8" t="s">
        <v>589</v>
      </c>
      <c r="F27" s="8" t="s">
        <v>612</v>
      </c>
    </row>
    <row r="28" customFormat="false" ht="15" hidden="false" customHeight="false" outlineLevel="0" collapsed="false">
      <c r="A28" s="8" t="s">
        <v>543</v>
      </c>
      <c r="B28" s="8" t="s">
        <v>613</v>
      </c>
      <c r="C28" s="8" t="s">
        <v>557</v>
      </c>
      <c r="D28" s="8" t="s">
        <v>614</v>
      </c>
      <c r="E28" s="8" t="s">
        <v>615</v>
      </c>
      <c r="F28" s="8" t="s">
        <v>478</v>
      </c>
    </row>
    <row r="29" customFormat="false" ht="15" hidden="false" customHeight="false" outlineLevel="0" collapsed="false">
      <c r="A29" s="8" t="s">
        <v>555</v>
      </c>
      <c r="B29" s="8" t="s">
        <v>616</v>
      </c>
      <c r="C29" s="8" t="s">
        <v>557</v>
      </c>
      <c r="D29" s="8" t="s">
        <v>617</v>
      </c>
      <c r="E29" s="8" t="s">
        <v>615</v>
      </c>
      <c r="F29" s="8" t="s">
        <v>478</v>
      </c>
    </row>
    <row r="30" customFormat="false" ht="15" hidden="false" customHeight="false" outlineLevel="0" collapsed="false">
      <c r="A30" s="8" t="s">
        <v>555</v>
      </c>
      <c r="B30" s="8" t="s">
        <v>618</v>
      </c>
      <c r="C30" s="8" t="s">
        <v>557</v>
      </c>
      <c r="D30" s="8" t="s">
        <v>619</v>
      </c>
      <c r="E30" s="8" t="s">
        <v>589</v>
      </c>
      <c r="F30" s="8" t="s">
        <v>620</v>
      </c>
    </row>
    <row r="31" customFormat="false" ht="15" hidden="false" customHeight="false" outlineLevel="0" collapsed="false">
      <c r="A31" s="8" t="s">
        <v>543</v>
      </c>
      <c r="B31" s="8" t="s">
        <v>621</v>
      </c>
      <c r="C31" s="8" t="s">
        <v>545</v>
      </c>
      <c r="D31" s="8" t="s">
        <v>622</v>
      </c>
      <c r="E31" s="8" t="s">
        <v>623</v>
      </c>
      <c r="F31" s="8" t="s">
        <v>624</v>
      </c>
    </row>
    <row r="32" customFormat="false" ht="15" hidden="false" customHeight="false" outlineLevel="0" collapsed="false">
      <c r="A32" s="8" t="s">
        <v>555</v>
      </c>
      <c r="B32" s="8" t="s">
        <v>625</v>
      </c>
      <c r="C32" s="8" t="s">
        <v>626</v>
      </c>
      <c r="D32" s="8" t="s">
        <v>563</v>
      </c>
      <c r="E32" s="8" t="s">
        <v>623</v>
      </c>
      <c r="F32" s="8" t="s">
        <v>484</v>
      </c>
    </row>
    <row r="33" customFormat="false" ht="15" hidden="false" customHeight="false" outlineLevel="0" collapsed="false">
      <c r="A33" s="8" t="s">
        <v>543</v>
      </c>
      <c r="B33" s="8" t="s">
        <v>625</v>
      </c>
      <c r="C33" s="8" t="s">
        <v>626</v>
      </c>
      <c r="D33" s="8" t="s">
        <v>627</v>
      </c>
      <c r="E33" s="8" t="s">
        <v>623</v>
      </c>
      <c r="F33" s="8" t="s">
        <v>484</v>
      </c>
    </row>
    <row r="34" customFormat="false" ht="15" hidden="false" customHeight="false" outlineLevel="0" collapsed="false">
      <c r="A34" s="8" t="s">
        <v>560</v>
      </c>
      <c r="B34" s="8" t="s">
        <v>628</v>
      </c>
      <c r="C34" s="8" t="s">
        <v>626</v>
      </c>
      <c r="D34" s="8" t="s">
        <v>629</v>
      </c>
      <c r="E34" s="8" t="s">
        <v>623</v>
      </c>
      <c r="F34" s="8" t="s">
        <v>484</v>
      </c>
    </row>
    <row r="35" customFormat="false" ht="15" hidden="false" customHeight="false" outlineLevel="0" collapsed="false">
      <c r="A35" s="8" t="s">
        <v>543</v>
      </c>
      <c r="B35" s="8" t="s">
        <v>630</v>
      </c>
      <c r="C35" s="8" t="s">
        <v>626</v>
      </c>
      <c r="D35" s="8" t="s">
        <v>631</v>
      </c>
      <c r="E35" s="8" t="s">
        <v>623</v>
      </c>
      <c r="F35" s="8" t="s">
        <v>632</v>
      </c>
    </row>
    <row r="36" customFormat="false" ht="15" hidden="false" customHeight="false" outlineLevel="0" collapsed="false">
      <c r="A36" s="8" t="s">
        <v>543</v>
      </c>
      <c r="B36" s="8" t="s">
        <v>633</v>
      </c>
      <c r="C36" s="8" t="s">
        <v>626</v>
      </c>
      <c r="D36" s="8" t="s">
        <v>634</v>
      </c>
      <c r="E36" s="8" t="s">
        <v>623</v>
      </c>
      <c r="F36" s="8" t="s">
        <v>490</v>
      </c>
    </row>
    <row r="37" customFormat="false" ht="15" hidden="false" customHeight="false" outlineLevel="0" collapsed="false">
      <c r="A37" s="8" t="s">
        <v>543</v>
      </c>
      <c r="B37" s="8" t="s">
        <v>635</v>
      </c>
      <c r="C37" s="8" t="s">
        <v>626</v>
      </c>
      <c r="D37" s="8" t="s">
        <v>636</v>
      </c>
      <c r="E37" s="8" t="s">
        <v>623</v>
      </c>
      <c r="F37" s="8" t="s">
        <v>490</v>
      </c>
    </row>
    <row r="38" customFormat="false" ht="15" hidden="false" customHeight="false" outlineLevel="0" collapsed="false">
      <c r="A38" s="8" t="s">
        <v>560</v>
      </c>
      <c r="B38" s="8" t="s">
        <v>637</v>
      </c>
      <c r="C38" s="8" t="s">
        <v>626</v>
      </c>
      <c r="D38" s="8" t="s">
        <v>638</v>
      </c>
      <c r="E38" s="8" t="s">
        <v>623</v>
      </c>
      <c r="F38" s="8" t="s">
        <v>490</v>
      </c>
    </row>
    <row r="39" customFormat="false" ht="15" hidden="false" customHeight="false" outlineLevel="0" collapsed="false">
      <c r="A39" s="8" t="s">
        <v>543</v>
      </c>
      <c r="B39" s="8" t="s">
        <v>639</v>
      </c>
      <c r="C39" s="8" t="s">
        <v>626</v>
      </c>
      <c r="D39" s="8" t="s">
        <v>640</v>
      </c>
      <c r="E39" s="8" t="s">
        <v>623</v>
      </c>
      <c r="F39" s="8" t="s">
        <v>496</v>
      </c>
    </row>
    <row r="40" customFormat="false" ht="15" hidden="false" customHeight="false" outlineLevel="0" collapsed="false">
      <c r="A40" s="8" t="s">
        <v>555</v>
      </c>
      <c r="B40" s="8" t="s">
        <v>641</v>
      </c>
      <c r="C40" s="8" t="s">
        <v>626</v>
      </c>
      <c r="D40" s="8" t="s">
        <v>642</v>
      </c>
      <c r="E40" s="8" t="s">
        <v>623</v>
      </c>
      <c r="F40" s="8" t="s">
        <v>502</v>
      </c>
    </row>
    <row r="41" customFormat="false" ht="15" hidden="false" customHeight="false" outlineLevel="0" collapsed="false">
      <c r="A41" s="8" t="s">
        <v>555</v>
      </c>
      <c r="B41" s="8" t="s">
        <v>643</v>
      </c>
      <c r="C41" s="8" t="s">
        <v>626</v>
      </c>
      <c r="D41" s="8" t="s">
        <v>644</v>
      </c>
      <c r="E41" s="8" t="s">
        <v>623</v>
      </c>
      <c r="F41" s="8" t="s">
        <v>502</v>
      </c>
    </row>
    <row r="42" customFormat="false" ht="15" hidden="false" customHeight="false" outlineLevel="0" collapsed="false">
      <c r="A42" s="8" t="s">
        <v>555</v>
      </c>
      <c r="B42" s="8" t="s">
        <v>645</v>
      </c>
      <c r="C42" s="8" t="s">
        <v>626</v>
      </c>
      <c r="D42" s="8" t="s">
        <v>646</v>
      </c>
      <c r="E42" s="8" t="s">
        <v>623</v>
      </c>
      <c r="F42" s="8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7" t="s">
        <v>648</v>
      </c>
      <c r="B1" s="7" t="s">
        <v>649</v>
      </c>
      <c r="C1" s="7" t="s">
        <v>294</v>
      </c>
      <c r="D1" s="7" t="s">
        <v>650</v>
      </c>
      <c r="E1" s="7" t="s">
        <v>539</v>
      </c>
      <c r="F1" s="7" t="s">
        <v>651</v>
      </c>
    </row>
    <row r="2" customFormat="false" ht="15" hidden="false" customHeight="false" outlineLevel="0" collapsed="false">
      <c r="A2" s="8" t="s">
        <v>652</v>
      </c>
      <c r="B2" s="8" t="s">
        <v>6</v>
      </c>
      <c r="C2" s="8" t="s">
        <v>653</v>
      </c>
      <c r="D2" s="8" t="s">
        <v>654</v>
      </c>
      <c r="E2" s="8" t="s">
        <v>545</v>
      </c>
      <c r="F2" s="8" t="s">
        <v>655</v>
      </c>
    </row>
    <row r="3" customFormat="false" ht="15" hidden="false" customHeight="false" outlineLevel="0" collapsed="false">
      <c r="A3" s="8" t="s">
        <v>656</v>
      </c>
      <c r="B3" s="8" t="s">
        <v>6</v>
      </c>
      <c r="C3" s="8" t="s">
        <v>657</v>
      </c>
      <c r="D3" s="8" t="s">
        <v>658</v>
      </c>
      <c r="E3" s="8" t="s">
        <v>545</v>
      </c>
      <c r="F3" s="8" t="s">
        <v>659</v>
      </c>
    </row>
    <row r="4" customFormat="false" ht="15" hidden="false" customHeight="false" outlineLevel="0" collapsed="false">
      <c r="A4" s="8" t="s">
        <v>660</v>
      </c>
      <c r="B4" s="8" t="s">
        <v>6</v>
      </c>
      <c r="C4" s="8" t="s">
        <v>661</v>
      </c>
      <c r="D4" s="8" t="s">
        <v>662</v>
      </c>
      <c r="E4" s="8" t="s">
        <v>539</v>
      </c>
      <c r="F4" s="8" t="s">
        <v>663</v>
      </c>
    </row>
    <row r="5" customFormat="false" ht="15" hidden="false" customHeight="false" outlineLevel="0" collapsed="false">
      <c r="A5" s="8" t="s">
        <v>664</v>
      </c>
      <c r="B5" s="8" t="s">
        <v>6</v>
      </c>
      <c r="C5" s="8" t="s">
        <v>665</v>
      </c>
      <c r="D5" s="8" t="s">
        <v>666</v>
      </c>
      <c r="E5" s="8" t="s">
        <v>539</v>
      </c>
      <c r="F5" s="8" t="s">
        <v>667</v>
      </c>
    </row>
    <row r="6" customFormat="false" ht="15" hidden="false" customHeight="false" outlineLevel="0" collapsed="false">
      <c r="A6" s="8" t="s">
        <v>668</v>
      </c>
      <c r="B6" s="8" t="s">
        <v>6</v>
      </c>
      <c r="C6" s="8" t="s">
        <v>669</v>
      </c>
      <c r="D6" s="8" t="s">
        <v>670</v>
      </c>
      <c r="E6" s="8" t="s">
        <v>539</v>
      </c>
      <c r="F6" s="8" t="s">
        <v>671</v>
      </c>
    </row>
    <row r="7" customFormat="false" ht="15" hidden="false" customHeight="false" outlineLevel="0" collapsed="false">
      <c r="A7" s="8" t="s">
        <v>672</v>
      </c>
      <c r="B7" s="8" t="s">
        <v>6</v>
      </c>
      <c r="C7" s="8" t="s">
        <v>673</v>
      </c>
      <c r="D7" s="8" t="s">
        <v>565</v>
      </c>
      <c r="E7" s="8" t="s">
        <v>539</v>
      </c>
      <c r="F7" s="8" t="s">
        <v>674</v>
      </c>
    </row>
    <row r="8" customFormat="false" ht="15" hidden="false" customHeight="false" outlineLevel="0" collapsed="false">
      <c r="A8" s="8" t="s">
        <v>675</v>
      </c>
      <c r="B8" s="8" t="s">
        <v>6</v>
      </c>
      <c r="C8" s="8" t="s">
        <v>676</v>
      </c>
      <c r="D8" s="8" t="s">
        <v>677</v>
      </c>
      <c r="E8" s="8" t="s">
        <v>539</v>
      </c>
      <c r="F8" s="8" t="s">
        <v>678</v>
      </c>
    </row>
    <row r="9" customFormat="false" ht="15" hidden="false" customHeight="false" outlineLevel="0" collapsed="false">
      <c r="A9" s="8" t="s">
        <v>679</v>
      </c>
      <c r="B9" s="8" t="s">
        <v>6</v>
      </c>
      <c r="C9" s="8" t="s">
        <v>680</v>
      </c>
      <c r="D9" s="8" t="s">
        <v>681</v>
      </c>
      <c r="E9" s="8" t="s">
        <v>682</v>
      </c>
      <c r="F9" s="8" t="s">
        <v>582</v>
      </c>
    </row>
    <row r="10" customFormat="false" ht="15" hidden="false" customHeight="false" outlineLevel="0" collapsed="false">
      <c r="A10" s="8" t="s">
        <v>683</v>
      </c>
      <c r="B10" s="8" t="s">
        <v>6</v>
      </c>
      <c r="C10" s="8" t="s">
        <v>684</v>
      </c>
      <c r="D10" s="8" t="s">
        <v>685</v>
      </c>
      <c r="E10" s="8" t="s">
        <v>539</v>
      </c>
      <c r="F10" s="8" t="s">
        <v>686</v>
      </c>
    </row>
    <row r="11" customFormat="false" ht="15" hidden="false" customHeight="false" outlineLevel="0" collapsed="false">
      <c r="A11" s="8" t="s">
        <v>687</v>
      </c>
      <c r="B11" s="8" t="s">
        <v>6</v>
      </c>
      <c r="C11" s="8" t="s">
        <v>688</v>
      </c>
      <c r="D11" s="8" t="s">
        <v>591</v>
      </c>
      <c r="E11" s="8" t="s">
        <v>539</v>
      </c>
      <c r="F11" s="8"/>
    </row>
    <row r="12" customFormat="false" ht="15" hidden="false" customHeight="false" outlineLevel="0" collapsed="false">
      <c r="A12" s="8" t="s">
        <v>689</v>
      </c>
      <c r="B12" s="8" t="s">
        <v>6</v>
      </c>
      <c r="C12" s="8" t="s">
        <v>690</v>
      </c>
      <c r="D12" s="8" t="s">
        <v>685</v>
      </c>
      <c r="E12" s="8" t="s">
        <v>539</v>
      </c>
      <c r="F12" s="8" t="s">
        <v>691</v>
      </c>
    </row>
    <row r="13" customFormat="false" ht="15" hidden="false" customHeight="false" outlineLevel="0" collapsed="false">
      <c r="A13" s="8" t="s">
        <v>692</v>
      </c>
      <c r="B13" s="8" t="s">
        <v>6</v>
      </c>
      <c r="C13" s="8" t="s">
        <v>693</v>
      </c>
      <c r="D13" s="8" t="s">
        <v>595</v>
      </c>
      <c r="E13" s="8" t="s">
        <v>539</v>
      </c>
      <c r="F13" s="8"/>
    </row>
    <row r="14" customFormat="false" ht="15" hidden="false" customHeight="false" outlineLevel="0" collapsed="false">
      <c r="A14" s="8" t="s">
        <v>694</v>
      </c>
      <c r="B14" s="8" t="s">
        <v>6</v>
      </c>
      <c r="C14" s="8" t="s">
        <v>695</v>
      </c>
      <c r="D14" s="8" t="s">
        <v>696</v>
      </c>
      <c r="E14" s="8" t="s">
        <v>539</v>
      </c>
      <c r="F14" s="8"/>
    </row>
    <row r="15" customFormat="false" ht="15" hidden="false" customHeight="false" outlineLevel="0" collapsed="false">
      <c r="A15" s="8" t="s">
        <v>697</v>
      </c>
      <c r="B15" s="8" t="s">
        <v>6</v>
      </c>
      <c r="C15" s="8" t="s">
        <v>698</v>
      </c>
      <c r="D15" s="8" t="s">
        <v>699</v>
      </c>
      <c r="E15" s="8" t="s">
        <v>539</v>
      </c>
      <c r="F15" s="8"/>
    </row>
    <row r="16" customFormat="false" ht="15" hidden="false" customHeight="false" outlineLevel="0" collapsed="false">
      <c r="A16" s="8" t="s">
        <v>700</v>
      </c>
      <c r="B16" s="8" t="s">
        <v>6</v>
      </c>
      <c r="C16" s="8" t="s">
        <v>701</v>
      </c>
      <c r="D16" s="8" t="s">
        <v>702</v>
      </c>
      <c r="E16" s="8" t="s">
        <v>539</v>
      </c>
      <c r="F16" s="8"/>
    </row>
    <row r="17" customFormat="false" ht="15" hidden="false" customHeight="false" outlineLevel="0" collapsed="false">
      <c r="A17" s="8" t="s">
        <v>703</v>
      </c>
      <c r="B17" s="8" t="s">
        <v>6</v>
      </c>
      <c r="C17" s="8" t="s">
        <v>704</v>
      </c>
      <c r="D17" s="8" t="s">
        <v>705</v>
      </c>
      <c r="E17" s="8" t="s">
        <v>539</v>
      </c>
      <c r="F17" s="8"/>
    </row>
    <row r="18" customFormat="false" ht="15" hidden="false" customHeight="false" outlineLevel="0" collapsed="false">
      <c r="A18" s="8" t="s">
        <v>706</v>
      </c>
      <c r="B18" s="8" t="s">
        <v>6</v>
      </c>
      <c r="C18" s="8" t="s">
        <v>707</v>
      </c>
      <c r="D18" s="8" t="s">
        <v>708</v>
      </c>
      <c r="E18" s="8" t="s">
        <v>539</v>
      </c>
      <c r="F18" s="8"/>
    </row>
    <row r="19" customFormat="false" ht="15" hidden="false" customHeight="false" outlineLevel="0" collapsed="false">
      <c r="A19" s="8" t="s">
        <v>709</v>
      </c>
      <c r="B19" s="8" t="s">
        <v>8</v>
      </c>
      <c r="C19" s="8" t="s">
        <v>710</v>
      </c>
      <c r="D19" s="8" t="s">
        <v>711</v>
      </c>
      <c r="E19" s="8" t="s">
        <v>545</v>
      </c>
      <c r="F19" s="8" t="s">
        <v>712</v>
      </c>
    </row>
    <row r="20" customFormat="false" ht="15" hidden="false" customHeight="false" outlineLevel="0" collapsed="false">
      <c r="A20" s="8" t="s">
        <v>713</v>
      </c>
      <c r="B20" s="8" t="s">
        <v>8</v>
      </c>
      <c r="C20" s="8" t="s">
        <v>714</v>
      </c>
      <c r="D20" s="8" t="s">
        <v>715</v>
      </c>
      <c r="E20" s="8" t="s">
        <v>626</v>
      </c>
      <c r="F20" s="8" t="s">
        <v>716</v>
      </c>
    </row>
    <row r="21" customFormat="false" ht="15" hidden="false" customHeight="false" outlineLevel="0" collapsed="false">
      <c r="A21" s="8" t="s">
        <v>717</v>
      </c>
      <c r="B21" s="8" t="s">
        <v>8</v>
      </c>
      <c r="C21" s="8" t="s">
        <v>718</v>
      </c>
      <c r="D21" s="8" t="s">
        <v>562</v>
      </c>
      <c r="E21" s="8" t="s">
        <v>719</v>
      </c>
      <c r="F21" s="8"/>
    </row>
    <row r="22" customFormat="false" ht="15" hidden="false" customHeight="false" outlineLevel="0" collapsed="false">
      <c r="A22" s="8" t="s">
        <v>720</v>
      </c>
      <c r="B22" s="8" t="s">
        <v>8</v>
      </c>
      <c r="C22" s="8" t="s">
        <v>721</v>
      </c>
      <c r="D22" s="8" t="s">
        <v>565</v>
      </c>
      <c r="E22" s="8" t="s">
        <v>719</v>
      </c>
      <c r="F22" s="8"/>
    </row>
    <row r="23" customFormat="false" ht="15" hidden="false" customHeight="false" outlineLevel="0" collapsed="false">
      <c r="A23" s="8" t="s">
        <v>722</v>
      </c>
      <c r="B23" s="8" t="s">
        <v>8</v>
      </c>
      <c r="C23" s="8" t="s">
        <v>723</v>
      </c>
      <c r="D23" s="8" t="s">
        <v>724</v>
      </c>
      <c r="E23" s="8" t="s">
        <v>719</v>
      </c>
      <c r="F23" s="8"/>
    </row>
    <row r="24" customFormat="false" ht="15" hidden="false" customHeight="false" outlineLevel="0" collapsed="false">
      <c r="A24" s="8" t="s">
        <v>725</v>
      </c>
      <c r="B24" s="8" t="s">
        <v>8</v>
      </c>
      <c r="C24" s="8" t="s">
        <v>726</v>
      </c>
      <c r="D24" s="8" t="s">
        <v>727</v>
      </c>
      <c r="E24" s="8" t="s">
        <v>719</v>
      </c>
      <c r="F24" s="8"/>
    </row>
    <row r="25" customFormat="false" ht="15" hidden="false" customHeight="false" outlineLevel="0" collapsed="false">
      <c r="A25" s="8" t="s">
        <v>728</v>
      </c>
      <c r="B25" s="8" t="s">
        <v>8</v>
      </c>
      <c r="C25" s="8" t="s">
        <v>729</v>
      </c>
      <c r="D25" s="8" t="s">
        <v>730</v>
      </c>
      <c r="E25" s="8" t="s">
        <v>731</v>
      </c>
      <c r="F25" s="8"/>
    </row>
    <row r="26" customFormat="false" ht="15" hidden="false" customHeight="false" outlineLevel="0" collapsed="false">
      <c r="A26" s="8" t="s">
        <v>732</v>
      </c>
      <c r="B26" s="8" t="s">
        <v>8</v>
      </c>
      <c r="C26" s="8" t="s">
        <v>733</v>
      </c>
      <c r="D26" s="8" t="s">
        <v>734</v>
      </c>
      <c r="E26" s="8" t="s">
        <v>731</v>
      </c>
      <c r="F26" s="8"/>
    </row>
    <row r="27" customFormat="false" ht="15" hidden="false" customHeight="false" outlineLevel="0" collapsed="false">
      <c r="A27" s="8" t="s">
        <v>735</v>
      </c>
      <c r="B27" s="8" t="s">
        <v>8</v>
      </c>
      <c r="C27" s="8" t="s">
        <v>736</v>
      </c>
      <c r="D27" s="8" t="s">
        <v>737</v>
      </c>
      <c r="E27" s="8" t="s">
        <v>731</v>
      </c>
      <c r="F27" s="8"/>
    </row>
    <row r="28" customFormat="false" ht="15" hidden="false" customHeight="false" outlineLevel="0" collapsed="false">
      <c r="A28" s="8" t="s">
        <v>738</v>
      </c>
      <c r="B28" s="8" t="s">
        <v>8</v>
      </c>
      <c r="C28" s="8" t="s">
        <v>739</v>
      </c>
      <c r="D28" s="8" t="s">
        <v>740</v>
      </c>
      <c r="E28" s="8" t="s">
        <v>741</v>
      </c>
      <c r="F28" s="8"/>
    </row>
    <row r="29" customFormat="false" ht="15" hidden="false" customHeight="false" outlineLevel="0" collapsed="false">
      <c r="A29" s="8" t="s">
        <v>742</v>
      </c>
      <c r="B29" s="8" t="s">
        <v>8</v>
      </c>
      <c r="C29" s="8" t="s">
        <v>743</v>
      </c>
      <c r="D29" s="8" t="s">
        <v>744</v>
      </c>
      <c r="E29" s="8" t="s">
        <v>719</v>
      </c>
      <c r="F29" s="8"/>
    </row>
    <row r="30" customFormat="false" ht="15" hidden="false" customHeight="false" outlineLevel="0" collapsed="false">
      <c r="A30" s="8" t="s">
        <v>745</v>
      </c>
      <c r="B30" s="8" t="s">
        <v>8</v>
      </c>
      <c r="C30" s="8" t="s">
        <v>746</v>
      </c>
      <c r="D30" s="8" t="s">
        <v>747</v>
      </c>
      <c r="E30" s="8" t="s">
        <v>748</v>
      </c>
      <c r="F30" s="8"/>
    </row>
    <row r="31" customFormat="false" ht="15" hidden="false" customHeight="false" outlineLevel="0" collapsed="false">
      <c r="A31" s="8" t="s">
        <v>749</v>
      </c>
      <c r="B31" s="8" t="s">
        <v>8</v>
      </c>
      <c r="C31" s="8" t="s">
        <v>750</v>
      </c>
      <c r="D31" s="8" t="s">
        <v>751</v>
      </c>
      <c r="E31" s="8" t="s">
        <v>748</v>
      </c>
      <c r="F3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48"/>
  </cols>
  <sheetData>
    <row r="1" customFormat="false" ht="15" hidden="false" customHeight="false" outlineLevel="0" collapsed="false">
      <c r="A1" s="7" t="s">
        <v>41</v>
      </c>
      <c r="B1" s="7" t="s">
        <v>752</v>
      </c>
      <c r="C1" s="7" t="s">
        <v>753</v>
      </c>
      <c r="D1" s="7" t="s">
        <v>754</v>
      </c>
      <c r="E1" s="7" t="s">
        <v>755</v>
      </c>
      <c r="F1" s="7" t="s">
        <v>756</v>
      </c>
      <c r="G1" s="7" t="s">
        <v>757</v>
      </c>
    </row>
    <row r="2" customFormat="false" ht="15" hidden="false" customHeight="false" outlineLevel="0" collapsed="false">
      <c r="A2" s="8" t="s">
        <v>758</v>
      </c>
      <c r="B2" s="8" t="s">
        <v>759</v>
      </c>
      <c r="C2" s="8" t="s">
        <v>760</v>
      </c>
      <c r="D2" s="8" t="s">
        <v>760</v>
      </c>
      <c r="E2" s="8" t="n">
        <f aca="false">4*4</f>
        <v>16</v>
      </c>
      <c r="F2" s="8" t="s">
        <v>277</v>
      </c>
      <c r="G2" s="8" t="s">
        <v>761</v>
      </c>
    </row>
    <row r="3" customFormat="false" ht="15" hidden="false" customHeight="false" outlineLevel="0" collapsed="false">
      <c r="A3" s="8" t="s">
        <v>762</v>
      </c>
      <c r="B3" s="8" t="s">
        <v>763</v>
      </c>
      <c r="C3" s="8" t="s">
        <v>764</v>
      </c>
      <c r="D3" s="8" t="s">
        <v>760</v>
      </c>
      <c r="E3" s="8" t="n">
        <f aca="false">3*4</f>
        <v>12</v>
      </c>
      <c r="F3" s="8" t="s">
        <v>10</v>
      </c>
      <c r="G3" s="8" t="s">
        <v>765</v>
      </c>
    </row>
    <row r="4" customFormat="false" ht="15" hidden="false" customHeight="false" outlineLevel="0" collapsed="false">
      <c r="A4" s="8" t="s">
        <v>766</v>
      </c>
      <c r="B4" s="8" t="s">
        <v>767</v>
      </c>
      <c r="C4" s="8" t="s">
        <v>764</v>
      </c>
      <c r="D4" s="8" t="s">
        <v>760</v>
      </c>
      <c r="E4" s="8" t="n">
        <f aca="false">3*4</f>
        <v>12</v>
      </c>
      <c r="F4" s="8" t="s">
        <v>10</v>
      </c>
      <c r="G4" s="8" t="s">
        <v>768</v>
      </c>
    </row>
    <row r="5" customFormat="false" ht="15" hidden="false" customHeight="false" outlineLevel="0" collapsed="false">
      <c r="A5" s="8" t="s">
        <v>769</v>
      </c>
      <c r="B5" s="8" t="s">
        <v>770</v>
      </c>
      <c r="C5" s="8" t="s">
        <v>764</v>
      </c>
      <c r="D5" s="8" t="s">
        <v>764</v>
      </c>
      <c r="E5" s="8" t="n">
        <f aca="false">3*3</f>
        <v>9</v>
      </c>
      <c r="F5" s="8" t="s">
        <v>10</v>
      </c>
      <c r="G5" s="8" t="s">
        <v>771</v>
      </c>
    </row>
    <row r="6" customFormat="false" ht="15" hidden="false" customHeight="false" outlineLevel="0" collapsed="false">
      <c r="A6" s="8" t="s">
        <v>772</v>
      </c>
      <c r="B6" s="8" t="s">
        <v>773</v>
      </c>
      <c r="C6" s="8" t="s">
        <v>764</v>
      </c>
      <c r="D6" s="8" t="s">
        <v>764</v>
      </c>
      <c r="E6" s="8" t="n">
        <f aca="false">3*3</f>
        <v>9</v>
      </c>
      <c r="F6" s="8" t="s">
        <v>149</v>
      </c>
      <c r="G6" s="8" t="s">
        <v>774</v>
      </c>
    </row>
    <row r="7" customFormat="false" ht="15" hidden="false" customHeight="false" outlineLevel="0" collapsed="false">
      <c r="A7" s="8" t="s">
        <v>775</v>
      </c>
      <c r="B7" s="8" t="s">
        <v>776</v>
      </c>
      <c r="C7" s="8" t="s">
        <v>777</v>
      </c>
      <c r="D7" s="8" t="s">
        <v>764</v>
      </c>
      <c r="E7" s="8" t="n">
        <f aca="false">2*3</f>
        <v>6</v>
      </c>
      <c r="F7" s="8" t="s">
        <v>6</v>
      </c>
      <c r="G7" s="8" t="s">
        <v>778</v>
      </c>
    </row>
    <row r="8" customFormat="false" ht="15" hidden="false" customHeight="false" outlineLevel="0" collapsed="false">
      <c r="A8" s="8" t="s">
        <v>779</v>
      </c>
      <c r="B8" s="8" t="s">
        <v>780</v>
      </c>
      <c r="C8" s="8" t="s">
        <v>760</v>
      </c>
      <c r="D8" s="8" t="s">
        <v>764</v>
      </c>
      <c r="E8" s="8" t="n">
        <f aca="false">4*3</f>
        <v>12</v>
      </c>
      <c r="F8" s="8" t="s">
        <v>277</v>
      </c>
      <c r="G8" s="8" t="s"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7" t="s">
        <v>39</v>
      </c>
      <c r="B1" s="7" t="s">
        <v>782</v>
      </c>
      <c r="C1" s="7" t="s">
        <v>783</v>
      </c>
      <c r="D1" s="7" t="s">
        <v>784</v>
      </c>
      <c r="E1" s="7" t="s">
        <v>785</v>
      </c>
    </row>
    <row r="2" customFormat="false" ht="15" hidden="false" customHeight="false" outlineLevel="0" collapsed="false">
      <c r="A2" s="8" t="s">
        <v>786</v>
      </c>
      <c r="B2" s="8" t="s">
        <v>787</v>
      </c>
      <c r="C2" s="8" t="s">
        <v>788</v>
      </c>
      <c r="D2" s="8" t="s">
        <v>789</v>
      </c>
      <c r="E2" s="8" t="s">
        <v>790</v>
      </c>
    </row>
    <row r="3" customFormat="false" ht="15" hidden="false" customHeight="false" outlineLevel="0" collapsed="false">
      <c r="A3" s="8" t="s">
        <v>791</v>
      </c>
      <c r="B3" s="8" t="s">
        <v>792</v>
      </c>
      <c r="C3" s="8" t="s">
        <v>793</v>
      </c>
      <c r="D3" s="8" t="s">
        <v>794</v>
      </c>
      <c r="E3" s="8" t="s">
        <v>795</v>
      </c>
    </row>
    <row r="4" customFormat="false" ht="15" hidden="false" customHeight="false" outlineLevel="0" collapsed="false">
      <c r="A4" s="8" t="s">
        <v>796</v>
      </c>
      <c r="B4" s="8" t="s">
        <v>797</v>
      </c>
      <c r="C4" s="8" t="s">
        <v>798</v>
      </c>
      <c r="D4" s="8" t="s">
        <v>799</v>
      </c>
      <c r="E4" s="8" t="s">
        <v>795</v>
      </c>
    </row>
    <row r="5" customFormat="false" ht="15" hidden="false" customHeight="false" outlineLevel="0" collapsed="false">
      <c r="A5" s="8" t="s">
        <v>800</v>
      </c>
      <c r="B5" s="8" t="s">
        <v>801</v>
      </c>
      <c r="C5" s="8" t="s">
        <v>802</v>
      </c>
      <c r="D5" s="8" t="s">
        <v>803</v>
      </c>
      <c r="E5" s="8" t="s">
        <v>795</v>
      </c>
    </row>
    <row r="6" customFormat="false" ht="15" hidden="false" customHeight="false" outlineLevel="0" collapsed="false">
      <c r="A6" s="8" t="s">
        <v>804</v>
      </c>
      <c r="B6" s="8" t="s">
        <v>805</v>
      </c>
      <c r="C6" s="8" t="s">
        <v>806</v>
      </c>
      <c r="D6" s="8" t="s">
        <v>807</v>
      </c>
      <c r="E6" s="8" t="s">
        <v>808</v>
      </c>
    </row>
    <row r="7" customFormat="false" ht="15" hidden="false" customHeight="false" outlineLevel="0" collapsed="false">
      <c r="A7" s="8" t="s">
        <v>809</v>
      </c>
      <c r="B7" s="8" t="s">
        <v>810</v>
      </c>
      <c r="C7" s="8" t="s">
        <v>811</v>
      </c>
      <c r="D7" s="8" t="s">
        <v>803</v>
      </c>
      <c r="E7" s="8" t="s">
        <v>795</v>
      </c>
    </row>
    <row r="8" customFormat="false" ht="15" hidden="false" customHeight="false" outlineLevel="0" collapsed="false">
      <c r="A8" s="8" t="s">
        <v>812</v>
      </c>
      <c r="B8" s="8" t="s">
        <v>813</v>
      </c>
      <c r="C8" s="8" t="s">
        <v>814</v>
      </c>
      <c r="D8" s="8" t="s">
        <v>815</v>
      </c>
      <c r="E8" s="8" t="s">
        <v>790</v>
      </c>
    </row>
    <row r="9" customFormat="false" ht="15" hidden="false" customHeight="false" outlineLevel="0" collapsed="false">
      <c r="A9" s="8" t="s">
        <v>816</v>
      </c>
      <c r="B9" s="8" t="s">
        <v>817</v>
      </c>
      <c r="C9" s="8" t="s">
        <v>818</v>
      </c>
      <c r="D9" s="8" t="s">
        <v>819</v>
      </c>
      <c r="E9" s="8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2026-04-17T16:11:34Z</dcterms:created>
  <dc:creator>openpyxl</dc:creator>
  <dc:description/>
  <dc:language>en-US</dc:language>
  <cp:lastModifiedBy/>
  <dcterms:modified xsi:type="dcterms:W3CDTF">2026-04-17T16:11:34Z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